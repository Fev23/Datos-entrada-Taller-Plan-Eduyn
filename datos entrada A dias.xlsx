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ti\OneDrive\Escritorio\PCP 2026\"/>
    </mc:Choice>
  </mc:AlternateContent>
  <xr:revisionPtr revIDLastSave="0" documentId="13_ncr:1_{13B24449-85AA-42AD-90C2-4692CD4AEB7D}" xr6:coauthVersionLast="47" xr6:coauthVersionMax="47" xr10:uidLastSave="{00000000-0000-0000-0000-000000000000}"/>
  <bookViews>
    <workbookView xWindow="-20610" yWindow="2025" windowWidth="20730" windowHeight="11040" xr2:uid="{32A12B60-9B28-43E1-8F53-BA26959A66BA}"/>
  </bookViews>
  <sheets>
    <sheet name="Hoja1" sheetId="1" r:id="rId1"/>
    <sheet name="Hoja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2" i="1" l="1"/>
  <c r="I2" i="1"/>
  <c r="G2" i="1"/>
  <c r="J1113" i="1"/>
  <c r="I1113" i="1"/>
  <c r="J1112" i="1"/>
  <c r="I1112" i="1"/>
  <c r="J1111" i="1"/>
  <c r="I1111" i="1"/>
  <c r="J1110" i="1"/>
  <c r="I1110" i="1"/>
  <c r="J1109" i="1"/>
  <c r="I1109" i="1"/>
  <c r="J1108" i="1"/>
  <c r="I1108" i="1"/>
  <c r="J1107" i="1"/>
  <c r="I1107" i="1"/>
  <c r="J1106" i="1"/>
  <c r="I1106" i="1"/>
  <c r="J1105" i="1"/>
  <c r="I1105" i="1"/>
  <c r="J1104" i="1"/>
  <c r="I1104" i="1"/>
  <c r="J1103" i="1"/>
  <c r="I1103" i="1"/>
  <c r="J1102" i="1"/>
  <c r="I1102" i="1"/>
  <c r="J1101" i="1"/>
  <c r="I1101" i="1"/>
  <c r="J1100" i="1"/>
  <c r="I1100" i="1"/>
  <c r="J1099" i="1"/>
  <c r="I1099" i="1"/>
  <c r="J1098" i="1"/>
  <c r="I1098" i="1"/>
  <c r="J1097" i="1"/>
  <c r="I1097" i="1"/>
  <c r="J1096" i="1"/>
  <c r="I1096" i="1"/>
  <c r="J1095" i="1"/>
  <c r="I1095" i="1"/>
  <c r="J1094" i="1"/>
  <c r="I1094" i="1"/>
  <c r="J1093" i="1"/>
  <c r="I1093" i="1"/>
  <c r="J1092" i="1"/>
  <c r="I1092" i="1"/>
  <c r="J1091" i="1"/>
  <c r="I1091" i="1"/>
  <c r="J1090" i="1"/>
  <c r="I1090" i="1"/>
  <c r="J1089" i="1"/>
  <c r="I1089" i="1"/>
  <c r="J1088" i="1"/>
  <c r="I1088" i="1"/>
  <c r="J1087" i="1"/>
  <c r="I1087" i="1"/>
  <c r="J1086" i="1"/>
  <c r="I1086" i="1"/>
  <c r="J1085" i="1"/>
  <c r="I1085" i="1"/>
  <c r="J1084" i="1"/>
  <c r="I1084" i="1"/>
  <c r="J1083" i="1"/>
  <c r="I1083" i="1"/>
  <c r="J1082" i="1"/>
  <c r="I1082" i="1"/>
  <c r="J1081" i="1"/>
  <c r="I1081" i="1"/>
  <c r="J1080" i="1"/>
  <c r="I1080" i="1"/>
  <c r="J1079" i="1"/>
  <c r="I1079" i="1"/>
  <c r="J1078" i="1"/>
  <c r="I1078" i="1"/>
  <c r="J1077" i="1"/>
  <c r="I1077" i="1"/>
  <c r="J1076" i="1"/>
  <c r="I1076" i="1"/>
  <c r="J1075" i="1"/>
  <c r="I1075" i="1"/>
  <c r="J1074" i="1"/>
  <c r="I1074" i="1"/>
  <c r="J1073" i="1"/>
  <c r="I1073" i="1"/>
  <c r="J1072" i="1"/>
  <c r="I1072" i="1"/>
  <c r="J1071" i="1"/>
  <c r="I1071" i="1"/>
  <c r="J1070" i="1"/>
  <c r="I1070" i="1"/>
  <c r="J1069" i="1"/>
  <c r="I1069" i="1"/>
  <c r="J1068" i="1"/>
  <c r="I1068" i="1"/>
  <c r="J1067" i="1"/>
  <c r="I1067" i="1"/>
  <c r="J1066" i="1"/>
  <c r="I1066" i="1"/>
  <c r="J1065" i="1"/>
  <c r="I1065" i="1"/>
  <c r="J1064" i="1"/>
  <c r="I1064" i="1"/>
  <c r="J1063" i="1"/>
  <c r="I1063" i="1"/>
  <c r="J1062" i="1"/>
  <c r="I1062" i="1"/>
  <c r="J1061" i="1"/>
  <c r="I1061" i="1"/>
  <c r="J1060" i="1"/>
  <c r="I1060" i="1"/>
  <c r="J1059" i="1"/>
  <c r="I1059" i="1"/>
  <c r="J1058" i="1"/>
  <c r="I1058" i="1"/>
  <c r="J1057" i="1"/>
  <c r="I1057" i="1"/>
  <c r="J1056" i="1"/>
  <c r="I1056" i="1"/>
  <c r="J1055" i="1"/>
  <c r="I1055" i="1"/>
  <c r="J1054" i="1"/>
  <c r="I1054" i="1"/>
  <c r="J1053" i="1"/>
  <c r="I1053" i="1"/>
  <c r="J1052" i="1"/>
  <c r="I1052" i="1"/>
  <c r="J1051" i="1"/>
  <c r="I1051" i="1"/>
  <c r="J1050" i="1"/>
  <c r="I1050" i="1"/>
  <c r="J1049" i="1"/>
  <c r="I1049" i="1"/>
  <c r="J1048" i="1"/>
  <c r="I1048" i="1"/>
  <c r="J1047" i="1"/>
  <c r="I1047" i="1"/>
  <c r="J1046" i="1"/>
  <c r="I1046" i="1"/>
  <c r="J1045" i="1"/>
  <c r="I1045" i="1"/>
  <c r="J1044" i="1"/>
  <c r="I1044" i="1"/>
  <c r="J1043" i="1"/>
  <c r="I1043" i="1"/>
  <c r="J1042" i="1"/>
  <c r="I1042" i="1"/>
  <c r="J1041" i="1"/>
  <c r="I1041" i="1"/>
  <c r="J1040" i="1"/>
  <c r="I1040" i="1"/>
  <c r="J1039" i="1"/>
  <c r="I1039" i="1"/>
  <c r="J1038" i="1"/>
  <c r="I1038" i="1"/>
  <c r="J1037" i="1"/>
  <c r="I1037" i="1"/>
  <c r="J1036" i="1"/>
  <c r="I1036" i="1"/>
  <c r="J1035" i="1"/>
  <c r="I1035" i="1"/>
  <c r="J1034" i="1"/>
  <c r="I1034" i="1"/>
  <c r="J1033" i="1"/>
  <c r="I1033" i="1"/>
  <c r="J1032" i="1"/>
  <c r="I1032" i="1"/>
  <c r="J1031" i="1"/>
  <c r="I1031" i="1"/>
  <c r="J1030" i="1"/>
  <c r="I1030" i="1"/>
  <c r="J1029" i="1"/>
  <c r="I1029" i="1"/>
  <c r="J1028" i="1"/>
  <c r="I1028" i="1"/>
  <c r="J1027" i="1"/>
  <c r="I1027" i="1"/>
  <c r="J1026" i="1"/>
  <c r="I1026" i="1"/>
  <c r="J1025" i="1"/>
  <c r="I1025" i="1"/>
  <c r="J1024" i="1"/>
  <c r="I1024" i="1"/>
  <c r="J1023" i="1"/>
  <c r="I1023" i="1"/>
  <c r="J1022" i="1"/>
  <c r="I1022" i="1"/>
  <c r="J1021" i="1"/>
  <c r="I1021" i="1"/>
  <c r="J1020" i="1"/>
  <c r="I1020" i="1"/>
  <c r="J1019" i="1"/>
  <c r="I1019" i="1"/>
  <c r="J1018" i="1"/>
  <c r="I1018" i="1"/>
  <c r="J1017" i="1"/>
  <c r="I1017" i="1"/>
  <c r="J1016" i="1"/>
  <c r="I1016" i="1"/>
  <c r="J1015" i="1"/>
  <c r="I1015" i="1"/>
  <c r="J1014" i="1"/>
  <c r="I1014" i="1"/>
  <c r="J1013" i="1"/>
  <c r="I1013" i="1"/>
  <c r="J1012" i="1"/>
  <c r="I1012" i="1"/>
  <c r="J1011" i="1"/>
  <c r="I1011" i="1"/>
  <c r="J1010" i="1"/>
  <c r="I1010" i="1"/>
  <c r="J1009" i="1"/>
  <c r="I1009" i="1"/>
  <c r="J1008" i="1"/>
  <c r="I1008" i="1"/>
  <c r="J1007" i="1"/>
  <c r="I1007" i="1"/>
  <c r="J1006" i="1"/>
  <c r="I1006" i="1"/>
  <c r="J1005" i="1"/>
  <c r="I1005" i="1"/>
  <c r="J1004" i="1"/>
  <c r="I1004" i="1"/>
  <c r="J1003" i="1"/>
  <c r="I1003" i="1"/>
  <c r="J1002" i="1"/>
  <c r="I1002" i="1"/>
  <c r="J1001" i="1"/>
  <c r="I1001" i="1"/>
  <c r="J1000" i="1"/>
  <c r="I1000" i="1"/>
  <c r="J999" i="1"/>
  <c r="I999" i="1"/>
  <c r="J998" i="1"/>
  <c r="I998" i="1"/>
  <c r="J997" i="1"/>
  <c r="I997" i="1"/>
  <c r="J996" i="1"/>
  <c r="I996" i="1"/>
  <c r="J995" i="1"/>
  <c r="I995" i="1"/>
  <c r="J994" i="1"/>
  <c r="I994" i="1"/>
  <c r="J993" i="1"/>
  <c r="I993" i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J985" i="1"/>
  <c r="I985" i="1"/>
  <c r="J984" i="1"/>
  <c r="I984" i="1"/>
  <c r="J983" i="1"/>
  <c r="I983" i="1"/>
  <c r="J982" i="1"/>
  <c r="I982" i="1"/>
  <c r="J981" i="1"/>
  <c r="I981" i="1"/>
  <c r="J980" i="1"/>
  <c r="I980" i="1"/>
  <c r="J979" i="1"/>
  <c r="I979" i="1"/>
  <c r="J978" i="1"/>
  <c r="I978" i="1"/>
  <c r="J977" i="1"/>
  <c r="I977" i="1"/>
  <c r="J976" i="1"/>
  <c r="I976" i="1"/>
  <c r="J975" i="1"/>
  <c r="I975" i="1"/>
  <c r="J974" i="1"/>
  <c r="I974" i="1"/>
  <c r="J973" i="1"/>
  <c r="I973" i="1"/>
  <c r="J972" i="1"/>
  <c r="I972" i="1"/>
  <c r="J971" i="1"/>
  <c r="I971" i="1"/>
  <c r="J970" i="1"/>
  <c r="I970" i="1"/>
  <c r="J969" i="1"/>
  <c r="I969" i="1"/>
  <c r="J968" i="1"/>
  <c r="I968" i="1"/>
  <c r="J967" i="1"/>
  <c r="I967" i="1"/>
  <c r="J966" i="1"/>
  <c r="I966" i="1"/>
  <c r="J965" i="1"/>
  <c r="I965" i="1"/>
  <c r="J964" i="1"/>
  <c r="I964" i="1"/>
  <c r="J963" i="1"/>
  <c r="I963" i="1"/>
  <c r="J962" i="1"/>
  <c r="I962" i="1"/>
  <c r="J961" i="1"/>
  <c r="I961" i="1"/>
  <c r="J960" i="1"/>
  <c r="I960" i="1"/>
  <c r="J959" i="1"/>
  <c r="I959" i="1"/>
  <c r="J958" i="1"/>
  <c r="I958" i="1"/>
  <c r="J957" i="1"/>
  <c r="I957" i="1"/>
  <c r="J956" i="1"/>
  <c r="I956" i="1"/>
  <c r="J955" i="1"/>
  <c r="I955" i="1"/>
  <c r="J954" i="1"/>
  <c r="I954" i="1"/>
  <c r="J953" i="1"/>
  <c r="I953" i="1"/>
  <c r="J952" i="1"/>
  <c r="I952" i="1"/>
  <c r="J951" i="1"/>
  <c r="I951" i="1"/>
  <c r="J950" i="1"/>
  <c r="I950" i="1"/>
  <c r="J949" i="1"/>
  <c r="I949" i="1"/>
  <c r="J948" i="1"/>
  <c r="I948" i="1"/>
  <c r="J947" i="1"/>
  <c r="I947" i="1"/>
  <c r="J946" i="1"/>
  <c r="I946" i="1"/>
  <c r="J945" i="1"/>
  <c r="I945" i="1"/>
  <c r="J944" i="1"/>
  <c r="I944" i="1"/>
  <c r="J943" i="1"/>
  <c r="I943" i="1"/>
  <c r="J942" i="1"/>
  <c r="I942" i="1"/>
  <c r="J941" i="1"/>
  <c r="I941" i="1"/>
  <c r="J940" i="1"/>
  <c r="I940" i="1"/>
  <c r="J939" i="1"/>
  <c r="I939" i="1"/>
  <c r="J938" i="1"/>
  <c r="I938" i="1"/>
  <c r="J937" i="1"/>
  <c r="I937" i="1"/>
  <c r="J936" i="1"/>
  <c r="I936" i="1"/>
  <c r="J935" i="1"/>
  <c r="I935" i="1"/>
  <c r="J934" i="1"/>
  <c r="I934" i="1"/>
  <c r="J933" i="1"/>
  <c r="I933" i="1"/>
  <c r="J932" i="1"/>
  <c r="I932" i="1"/>
  <c r="J931" i="1"/>
  <c r="I931" i="1"/>
  <c r="J930" i="1"/>
  <c r="I930" i="1"/>
  <c r="J929" i="1"/>
  <c r="I929" i="1"/>
  <c r="J928" i="1"/>
  <c r="I928" i="1"/>
  <c r="J927" i="1"/>
  <c r="I927" i="1"/>
  <c r="J926" i="1"/>
  <c r="I926" i="1"/>
  <c r="J925" i="1"/>
  <c r="I925" i="1"/>
  <c r="J924" i="1"/>
  <c r="I924" i="1"/>
  <c r="J923" i="1"/>
  <c r="I923" i="1"/>
  <c r="J922" i="1"/>
  <c r="I922" i="1"/>
  <c r="J921" i="1"/>
  <c r="I921" i="1"/>
  <c r="J920" i="1"/>
  <c r="I920" i="1"/>
  <c r="J919" i="1"/>
  <c r="I919" i="1"/>
  <c r="J918" i="1"/>
  <c r="I918" i="1"/>
  <c r="J917" i="1"/>
  <c r="I917" i="1"/>
  <c r="J916" i="1"/>
  <c r="I916" i="1"/>
  <c r="J915" i="1"/>
  <c r="I915" i="1"/>
  <c r="J914" i="1"/>
  <c r="I914" i="1"/>
  <c r="J913" i="1"/>
  <c r="I913" i="1"/>
  <c r="J912" i="1"/>
  <c r="I912" i="1"/>
  <c r="J911" i="1"/>
  <c r="I911" i="1"/>
  <c r="J910" i="1"/>
  <c r="I910" i="1"/>
  <c r="J909" i="1"/>
  <c r="I909" i="1"/>
  <c r="J908" i="1"/>
  <c r="I908" i="1"/>
  <c r="J907" i="1"/>
  <c r="I907" i="1"/>
  <c r="J906" i="1"/>
  <c r="I906" i="1"/>
  <c r="J905" i="1"/>
  <c r="I905" i="1"/>
  <c r="J904" i="1"/>
  <c r="I904" i="1"/>
  <c r="J903" i="1"/>
  <c r="I903" i="1"/>
  <c r="J902" i="1"/>
  <c r="I902" i="1"/>
  <c r="J901" i="1"/>
  <c r="I901" i="1"/>
  <c r="J900" i="1"/>
  <c r="I900" i="1"/>
  <c r="J899" i="1"/>
  <c r="I899" i="1"/>
  <c r="J898" i="1"/>
  <c r="I898" i="1"/>
  <c r="J897" i="1"/>
  <c r="I897" i="1"/>
  <c r="J896" i="1"/>
  <c r="I896" i="1"/>
  <c r="J895" i="1"/>
  <c r="I895" i="1"/>
  <c r="J894" i="1"/>
  <c r="I894" i="1"/>
  <c r="J893" i="1"/>
  <c r="I893" i="1"/>
  <c r="J892" i="1"/>
  <c r="I892" i="1"/>
  <c r="J891" i="1"/>
  <c r="I891" i="1"/>
  <c r="J890" i="1"/>
  <c r="I890" i="1"/>
  <c r="J889" i="1"/>
  <c r="I889" i="1"/>
  <c r="J888" i="1"/>
  <c r="I888" i="1"/>
  <c r="J887" i="1"/>
  <c r="I887" i="1"/>
  <c r="J886" i="1"/>
  <c r="I886" i="1"/>
  <c r="J885" i="1"/>
  <c r="I885" i="1"/>
  <c r="J884" i="1"/>
  <c r="I884" i="1"/>
  <c r="J883" i="1"/>
  <c r="I883" i="1"/>
  <c r="J882" i="1"/>
  <c r="I882" i="1"/>
  <c r="J881" i="1"/>
  <c r="I881" i="1"/>
  <c r="J880" i="1"/>
  <c r="I880" i="1"/>
  <c r="J879" i="1"/>
  <c r="I879" i="1"/>
  <c r="J878" i="1"/>
  <c r="I878" i="1"/>
  <c r="J877" i="1"/>
  <c r="I877" i="1"/>
  <c r="J876" i="1"/>
  <c r="I876" i="1"/>
  <c r="J875" i="1"/>
  <c r="I875" i="1"/>
  <c r="J874" i="1"/>
  <c r="I874" i="1"/>
  <c r="J873" i="1"/>
  <c r="I873" i="1"/>
  <c r="J872" i="1"/>
  <c r="I872" i="1"/>
  <c r="J871" i="1"/>
  <c r="I871" i="1"/>
  <c r="J870" i="1"/>
  <c r="I870" i="1"/>
  <c r="J869" i="1"/>
  <c r="I869" i="1"/>
  <c r="J868" i="1"/>
  <c r="I868" i="1"/>
  <c r="J867" i="1"/>
  <c r="I867" i="1"/>
  <c r="J866" i="1"/>
  <c r="I866" i="1"/>
  <c r="J865" i="1"/>
  <c r="I865" i="1"/>
  <c r="J864" i="1"/>
  <c r="I864" i="1"/>
  <c r="J863" i="1"/>
  <c r="I863" i="1"/>
  <c r="J862" i="1"/>
  <c r="I862" i="1"/>
  <c r="J861" i="1"/>
  <c r="I861" i="1"/>
  <c r="J860" i="1"/>
  <c r="I860" i="1"/>
  <c r="J859" i="1"/>
  <c r="I859" i="1"/>
  <c r="J858" i="1"/>
  <c r="I858" i="1"/>
  <c r="J857" i="1"/>
  <c r="I857" i="1"/>
  <c r="J856" i="1"/>
  <c r="I856" i="1"/>
  <c r="J855" i="1"/>
  <c r="I855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J550" i="1"/>
  <c r="I550" i="1"/>
  <c r="J549" i="1"/>
  <c r="I549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41" i="1"/>
  <c r="I541" i="1"/>
  <c r="J540" i="1"/>
  <c r="I540" i="1"/>
  <c r="J539" i="1"/>
  <c r="I539" i="1"/>
  <c r="J538" i="1"/>
  <c r="I538" i="1"/>
  <c r="J537" i="1"/>
  <c r="I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F1113" i="1"/>
  <c r="E1113" i="1"/>
  <c r="D1113" i="1"/>
  <c r="H1113" i="1" s="1"/>
  <c r="B1113" i="1"/>
  <c r="F1112" i="1"/>
  <c r="E1112" i="1"/>
  <c r="D1112" i="1"/>
  <c r="H1112" i="1" s="1"/>
  <c r="B1112" i="1"/>
  <c r="F1111" i="1"/>
  <c r="E1111" i="1"/>
  <c r="D1111" i="1"/>
  <c r="H1111" i="1" s="1"/>
  <c r="B1111" i="1"/>
  <c r="F1110" i="1"/>
  <c r="E1110" i="1"/>
  <c r="D1110" i="1"/>
  <c r="H1110" i="1" s="1"/>
  <c r="B1110" i="1"/>
  <c r="F1109" i="1"/>
  <c r="E1109" i="1"/>
  <c r="D1109" i="1"/>
  <c r="H1109" i="1" s="1"/>
  <c r="B1109" i="1"/>
  <c r="F1108" i="1"/>
  <c r="E1108" i="1"/>
  <c r="D1108" i="1"/>
  <c r="H1108" i="1" s="1"/>
  <c r="B1108" i="1"/>
  <c r="F1107" i="1"/>
  <c r="E1107" i="1"/>
  <c r="D1107" i="1"/>
  <c r="H1107" i="1" s="1"/>
  <c r="B1107" i="1"/>
  <c r="G1106" i="1"/>
  <c r="F1106" i="1"/>
  <c r="H1106" i="1" s="1"/>
  <c r="E1106" i="1"/>
  <c r="D1106" i="1"/>
  <c r="B1106" i="1"/>
  <c r="G1105" i="1"/>
  <c r="F1105" i="1"/>
  <c r="E1105" i="1"/>
  <c r="H1105" i="1" s="1"/>
  <c r="D1105" i="1"/>
  <c r="B1105" i="1"/>
  <c r="F1104" i="1"/>
  <c r="E1104" i="1"/>
  <c r="D1104" i="1"/>
  <c r="H1104" i="1" s="1"/>
  <c r="B1104" i="1"/>
  <c r="F1103" i="1"/>
  <c r="E1103" i="1"/>
  <c r="D1103" i="1"/>
  <c r="H1103" i="1" s="1"/>
  <c r="B1103" i="1"/>
  <c r="H1102" i="1"/>
  <c r="G1102" i="1"/>
  <c r="F1102" i="1"/>
  <c r="E1102" i="1"/>
  <c r="D1102" i="1"/>
  <c r="B1102" i="1"/>
  <c r="G1101" i="1"/>
  <c r="F1101" i="1"/>
  <c r="E1101" i="1"/>
  <c r="D1101" i="1"/>
  <c r="B1101" i="1"/>
  <c r="F1100" i="1"/>
  <c r="E1100" i="1"/>
  <c r="G1100" i="1" s="1"/>
  <c r="D1100" i="1"/>
  <c r="H1100" i="1" s="1"/>
  <c r="B1100" i="1"/>
  <c r="F1099" i="1"/>
  <c r="E1099" i="1"/>
  <c r="D1099" i="1"/>
  <c r="B1099" i="1"/>
  <c r="F1098" i="1"/>
  <c r="E1098" i="1"/>
  <c r="D1098" i="1"/>
  <c r="H1098" i="1" s="1"/>
  <c r="B1098" i="1"/>
  <c r="G1097" i="1"/>
  <c r="F1097" i="1"/>
  <c r="E1097" i="1"/>
  <c r="H1097" i="1" s="1"/>
  <c r="D1097" i="1"/>
  <c r="B1097" i="1"/>
  <c r="F1096" i="1"/>
  <c r="E1096" i="1"/>
  <c r="G1096" i="1" s="1"/>
  <c r="D1096" i="1"/>
  <c r="B1096" i="1"/>
  <c r="F1095" i="1"/>
  <c r="E1095" i="1"/>
  <c r="D1095" i="1"/>
  <c r="H1095" i="1" s="1"/>
  <c r="B1095" i="1"/>
  <c r="H1094" i="1"/>
  <c r="G1094" i="1"/>
  <c r="F1094" i="1"/>
  <c r="E1094" i="1"/>
  <c r="D1094" i="1"/>
  <c r="B1094" i="1"/>
  <c r="F1093" i="1"/>
  <c r="E1093" i="1"/>
  <c r="D1093" i="1"/>
  <c r="G1093" i="1" s="1"/>
  <c r="B1093" i="1"/>
  <c r="F1092" i="1"/>
  <c r="E1092" i="1"/>
  <c r="G1092" i="1" s="1"/>
  <c r="D1092" i="1"/>
  <c r="H1092" i="1" s="1"/>
  <c r="B1092" i="1"/>
  <c r="F1091" i="1"/>
  <c r="E1091" i="1"/>
  <c r="D1091" i="1"/>
  <c r="H1091" i="1" s="1"/>
  <c r="B1091" i="1"/>
  <c r="H1090" i="1"/>
  <c r="G1090" i="1"/>
  <c r="F1090" i="1"/>
  <c r="E1090" i="1"/>
  <c r="D1090" i="1"/>
  <c r="B1090" i="1"/>
  <c r="G1089" i="1"/>
  <c r="F1089" i="1"/>
  <c r="E1089" i="1"/>
  <c r="H1089" i="1" s="1"/>
  <c r="D1089" i="1"/>
  <c r="B1089" i="1"/>
  <c r="F1088" i="1"/>
  <c r="E1088" i="1"/>
  <c r="G1088" i="1" s="1"/>
  <c r="D1088" i="1"/>
  <c r="H1088" i="1" s="1"/>
  <c r="B1088" i="1"/>
  <c r="F1087" i="1"/>
  <c r="E1087" i="1"/>
  <c r="D1087" i="1"/>
  <c r="H1087" i="1" s="1"/>
  <c r="B1087" i="1"/>
  <c r="F1086" i="1"/>
  <c r="E1086" i="1"/>
  <c r="H1086" i="1" s="1"/>
  <c r="D1086" i="1"/>
  <c r="B1086" i="1"/>
  <c r="G1085" i="1"/>
  <c r="F1085" i="1"/>
  <c r="H1085" i="1" s="1"/>
  <c r="E1085" i="1"/>
  <c r="D1085" i="1"/>
  <c r="B1085" i="1"/>
  <c r="F1084" i="1"/>
  <c r="E1084" i="1"/>
  <c r="G1084" i="1" s="1"/>
  <c r="D1084" i="1"/>
  <c r="B1084" i="1"/>
  <c r="F1083" i="1"/>
  <c r="E1083" i="1"/>
  <c r="D1083" i="1"/>
  <c r="H1083" i="1" s="1"/>
  <c r="B1083" i="1"/>
  <c r="H1082" i="1"/>
  <c r="G1082" i="1"/>
  <c r="F1082" i="1"/>
  <c r="E1082" i="1"/>
  <c r="D1082" i="1"/>
  <c r="B1082" i="1"/>
  <c r="F1081" i="1"/>
  <c r="E1081" i="1"/>
  <c r="G1081" i="1" s="1"/>
  <c r="D1081" i="1"/>
  <c r="B1081" i="1"/>
  <c r="F1080" i="1"/>
  <c r="E1080" i="1"/>
  <c r="G1080" i="1" s="1"/>
  <c r="D1080" i="1"/>
  <c r="H1080" i="1" s="1"/>
  <c r="B1080" i="1"/>
  <c r="F1079" i="1"/>
  <c r="E1079" i="1"/>
  <c r="D1079" i="1"/>
  <c r="B1079" i="1"/>
  <c r="H1078" i="1"/>
  <c r="G1078" i="1"/>
  <c r="F1078" i="1"/>
  <c r="E1078" i="1"/>
  <c r="D1078" i="1"/>
  <c r="B1078" i="1"/>
  <c r="G1077" i="1"/>
  <c r="F1077" i="1"/>
  <c r="E1077" i="1"/>
  <c r="H1077" i="1" s="1"/>
  <c r="D1077" i="1"/>
  <c r="B1077" i="1"/>
  <c r="F1076" i="1"/>
  <c r="E1076" i="1"/>
  <c r="D1076" i="1"/>
  <c r="H1076" i="1" s="1"/>
  <c r="B1076" i="1"/>
  <c r="F1075" i="1"/>
  <c r="E1075" i="1"/>
  <c r="D1075" i="1"/>
  <c r="H1075" i="1" s="1"/>
  <c r="B1075" i="1"/>
  <c r="G1074" i="1"/>
  <c r="F1074" i="1"/>
  <c r="H1074" i="1" s="1"/>
  <c r="E1074" i="1"/>
  <c r="D1074" i="1"/>
  <c r="B1074" i="1"/>
  <c r="G1073" i="1"/>
  <c r="F1073" i="1"/>
  <c r="E1073" i="1"/>
  <c r="H1073" i="1" s="1"/>
  <c r="D1073" i="1"/>
  <c r="B1073" i="1"/>
  <c r="F1072" i="1"/>
  <c r="E1072" i="1"/>
  <c r="G1072" i="1" s="1"/>
  <c r="D1072" i="1"/>
  <c r="H1072" i="1" s="1"/>
  <c r="B1072" i="1"/>
  <c r="F1071" i="1"/>
  <c r="E1071" i="1"/>
  <c r="D1071" i="1"/>
  <c r="H1071" i="1" s="1"/>
  <c r="B1071" i="1"/>
  <c r="H1070" i="1"/>
  <c r="G1070" i="1"/>
  <c r="F1070" i="1"/>
  <c r="E1070" i="1"/>
  <c r="D1070" i="1"/>
  <c r="B1070" i="1"/>
  <c r="G1069" i="1"/>
  <c r="F1069" i="1"/>
  <c r="E1069" i="1"/>
  <c r="D1069" i="1"/>
  <c r="B1069" i="1"/>
  <c r="F1068" i="1"/>
  <c r="E1068" i="1"/>
  <c r="G1068" i="1" s="1"/>
  <c r="D1068" i="1"/>
  <c r="H1068" i="1" s="1"/>
  <c r="B1068" i="1"/>
  <c r="F1067" i="1"/>
  <c r="E1067" i="1"/>
  <c r="D1067" i="1"/>
  <c r="B1067" i="1"/>
  <c r="F1066" i="1"/>
  <c r="E1066" i="1"/>
  <c r="D1066" i="1"/>
  <c r="B1066" i="1"/>
  <c r="G1065" i="1"/>
  <c r="F1065" i="1"/>
  <c r="E1065" i="1"/>
  <c r="D1065" i="1"/>
  <c r="H1065" i="1" s="1"/>
  <c r="B1065" i="1"/>
  <c r="F1064" i="1"/>
  <c r="E1064" i="1"/>
  <c r="G1064" i="1" s="1"/>
  <c r="D1064" i="1"/>
  <c r="B1064" i="1"/>
  <c r="F1063" i="1"/>
  <c r="E1063" i="1"/>
  <c r="D1063" i="1"/>
  <c r="H1063" i="1" s="1"/>
  <c r="B1063" i="1"/>
  <c r="H1062" i="1"/>
  <c r="G1062" i="1"/>
  <c r="F1062" i="1"/>
  <c r="E1062" i="1"/>
  <c r="D1062" i="1"/>
  <c r="B1062" i="1"/>
  <c r="F1061" i="1"/>
  <c r="E1061" i="1"/>
  <c r="D1061" i="1"/>
  <c r="B1061" i="1"/>
  <c r="F1060" i="1"/>
  <c r="E1060" i="1"/>
  <c r="G1060" i="1" s="1"/>
  <c r="D1060" i="1"/>
  <c r="H1060" i="1" s="1"/>
  <c r="B1060" i="1"/>
  <c r="F1059" i="1"/>
  <c r="E1059" i="1"/>
  <c r="D1059" i="1"/>
  <c r="H1059" i="1" s="1"/>
  <c r="B1059" i="1"/>
  <c r="H1058" i="1"/>
  <c r="G1058" i="1"/>
  <c r="F1058" i="1"/>
  <c r="E1058" i="1"/>
  <c r="D1058" i="1"/>
  <c r="B1058" i="1"/>
  <c r="G1057" i="1"/>
  <c r="F1057" i="1"/>
  <c r="E1057" i="1"/>
  <c r="D1057" i="1"/>
  <c r="H1057" i="1" s="1"/>
  <c r="B1057" i="1"/>
  <c r="F1056" i="1"/>
  <c r="E1056" i="1"/>
  <c r="G1056" i="1" s="1"/>
  <c r="D1056" i="1"/>
  <c r="H1056" i="1" s="1"/>
  <c r="B1056" i="1"/>
  <c r="F1055" i="1"/>
  <c r="E1055" i="1"/>
  <c r="D1055" i="1"/>
  <c r="H1055" i="1" s="1"/>
  <c r="B1055" i="1"/>
  <c r="F1054" i="1"/>
  <c r="E1054" i="1"/>
  <c r="D1054" i="1"/>
  <c r="G1054" i="1" s="1"/>
  <c r="B1054" i="1"/>
  <c r="G1053" i="1"/>
  <c r="F1053" i="1"/>
  <c r="E1053" i="1"/>
  <c r="D1053" i="1"/>
  <c r="H1053" i="1" s="1"/>
  <c r="B1053" i="1"/>
  <c r="F1052" i="1"/>
  <c r="E1052" i="1"/>
  <c r="G1052" i="1" s="1"/>
  <c r="D1052" i="1"/>
  <c r="B1052" i="1"/>
  <c r="G1051" i="1"/>
  <c r="F1051" i="1"/>
  <c r="E1051" i="1"/>
  <c r="D1051" i="1"/>
  <c r="H1051" i="1" s="1"/>
  <c r="B1051" i="1"/>
  <c r="G1050" i="1"/>
  <c r="F1050" i="1"/>
  <c r="E1050" i="1"/>
  <c r="H1050" i="1" s="1"/>
  <c r="D1050" i="1"/>
  <c r="B1050" i="1"/>
  <c r="F1049" i="1"/>
  <c r="E1049" i="1"/>
  <c r="D1049" i="1"/>
  <c r="B1049" i="1"/>
  <c r="F1048" i="1"/>
  <c r="E1048" i="1"/>
  <c r="G1048" i="1" s="1"/>
  <c r="D1048" i="1"/>
  <c r="B1048" i="1"/>
  <c r="F1047" i="1"/>
  <c r="E1047" i="1"/>
  <c r="D1047" i="1"/>
  <c r="H1047" i="1" s="1"/>
  <c r="B1047" i="1"/>
  <c r="G1046" i="1"/>
  <c r="F1046" i="1"/>
  <c r="E1046" i="1"/>
  <c r="H1046" i="1" s="1"/>
  <c r="D1046" i="1"/>
  <c r="B1046" i="1"/>
  <c r="G1045" i="1"/>
  <c r="F1045" i="1"/>
  <c r="E1045" i="1"/>
  <c r="D1045" i="1"/>
  <c r="B1045" i="1"/>
  <c r="F1044" i="1"/>
  <c r="E1044" i="1"/>
  <c r="G1044" i="1" s="1"/>
  <c r="D1044" i="1"/>
  <c r="H1044" i="1" s="1"/>
  <c r="B1044" i="1"/>
  <c r="F1043" i="1"/>
  <c r="E1043" i="1"/>
  <c r="G1043" i="1" s="1"/>
  <c r="D1043" i="1"/>
  <c r="B1043" i="1"/>
  <c r="G1042" i="1"/>
  <c r="F1042" i="1"/>
  <c r="E1042" i="1"/>
  <c r="H1042" i="1" s="1"/>
  <c r="D1042" i="1"/>
  <c r="B1042" i="1"/>
  <c r="G1041" i="1"/>
  <c r="F1041" i="1"/>
  <c r="E1041" i="1"/>
  <c r="D1041" i="1"/>
  <c r="H1041" i="1" s="1"/>
  <c r="B1041" i="1"/>
  <c r="F1040" i="1"/>
  <c r="E1040" i="1"/>
  <c r="G1040" i="1" s="1"/>
  <c r="D1040" i="1"/>
  <c r="B1040" i="1"/>
  <c r="F1039" i="1"/>
  <c r="E1039" i="1"/>
  <c r="D1039" i="1"/>
  <c r="B1039" i="1"/>
  <c r="G1038" i="1"/>
  <c r="F1038" i="1"/>
  <c r="E1038" i="1"/>
  <c r="D1038" i="1"/>
  <c r="B1038" i="1"/>
  <c r="G1037" i="1"/>
  <c r="F1037" i="1"/>
  <c r="E1037" i="1"/>
  <c r="D1037" i="1"/>
  <c r="H1037" i="1" s="1"/>
  <c r="B1037" i="1"/>
  <c r="F1036" i="1"/>
  <c r="E1036" i="1"/>
  <c r="G1036" i="1" s="1"/>
  <c r="D1036" i="1"/>
  <c r="B1036" i="1"/>
  <c r="F1035" i="1"/>
  <c r="E1035" i="1"/>
  <c r="D1035" i="1"/>
  <c r="B1035" i="1"/>
  <c r="G1034" i="1"/>
  <c r="F1034" i="1"/>
  <c r="E1034" i="1"/>
  <c r="H1034" i="1" s="1"/>
  <c r="D1034" i="1"/>
  <c r="B1034" i="1"/>
  <c r="F1033" i="1"/>
  <c r="E1033" i="1"/>
  <c r="G1033" i="1" s="1"/>
  <c r="D1033" i="1"/>
  <c r="B1033" i="1"/>
  <c r="F1032" i="1"/>
  <c r="E1032" i="1"/>
  <c r="G1032" i="1" s="1"/>
  <c r="D1032" i="1"/>
  <c r="B1032" i="1"/>
  <c r="F1031" i="1"/>
  <c r="E1031" i="1"/>
  <c r="D1031" i="1"/>
  <c r="B1031" i="1"/>
  <c r="G1030" i="1"/>
  <c r="F1030" i="1"/>
  <c r="E1030" i="1"/>
  <c r="H1030" i="1" s="1"/>
  <c r="D1030" i="1"/>
  <c r="B1030" i="1"/>
  <c r="G1029" i="1"/>
  <c r="F1029" i="1"/>
  <c r="E1029" i="1"/>
  <c r="D1029" i="1"/>
  <c r="H1029" i="1" s="1"/>
  <c r="B1029" i="1"/>
  <c r="F1028" i="1"/>
  <c r="E1028" i="1"/>
  <c r="G1028" i="1" s="1"/>
  <c r="D1028" i="1"/>
  <c r="B1028" i="1"/>
  <c r="F1027" i="1"/>
  <c r="E1027" i="1"/>
  <c r="D1027" i="1"/>
  <c r="B1027" i="1"/>
  <c r="F1026" i="1"/>
  <c r="E1026" i="1"/>
  <c r="D1026" i="1"/>
  <c r="G1026" i="1" s="1"/>
  <c r="B1026" i="1"/>
  <c r="G1025" i="1"/>
  <c r="F1025" i="1"/>
  <c r="E1025" i="1"/>
  <c r="D1025" i="1"/>
  <c r="H1025" i="1" s="1"/>
  <c r="B1025" i="1"/>
  <c r="F1024" i="1"/>
  <c r="E1024" i="1"/>
  <c r="G1024" i="1" s="1"/>
  <c r="D1024" i="1"/>
  <c r="B1024" i="1"/>
  <c r="F1023" i="1"/>
  <c r="E1023" i="1"/>
  <c r="D1023" i="1"/>
  <c r="B1023" i="1"/>
  <c r="G1022" i="1"/>
  <c r="F1022" i="1"/>
  <c r="E1022" i="1"/>
  <c r="D1022" i="1"/>
  <c r="B1022" i="1"/>
  <c r="G1021" i="1"/>
  <c r="F1021" i="1"/>
  <c r="E1021" i="1"/>
  <c r="D1021" i="1"/>
  <c r="H1021" i="1" s="1"/>
  <c r="B1021" i="1"/>
  <c r="F1020" i="1"/>
  <c r="E1020" i="1"/>
  <c r="G1020" i="1" s="1"/>
  <c r="D1020" i="1"/>
  <c r="H1020" i="1" s="1"/>
  <c r="B1020" i="1"/>
  <c r="F1019" i="1"/>
  <c r="E1019" i="1"/>
  <c r="D1019" i="1"/>
  <c r="B1019" i="1"/>
  <c r="G1018" i="1"/>
  <c r="F1018" i="1"/>
  <c r="E1018" i="1"/>
  <c r="H1018" i="1" s="1"/>
  <c r="D1018" i="1"/>
  <c r="B1018" i="1"/>
  <c r="F1017" i="1"/>
  <c r="E1017" i="1"/>
  <c r="G1017" i="1" s="1"/>
  <c r="D1017" i="1"/>
  <c r="B1017" i="1"/>
  <c r="F1016" i="1"/>
  <c r="E1016" i="1"/>
  <c r="G1016" i="1" s="1"/>
  <c r="D1016" i="1"/>
  <c r="B1016" i="1"/>
  <c r="F1015" i="1"/>
  <c r="E1015" i="1"/>
  <c r="D1015" i="1"/>
  <c r="B1015" i="1"/>
  <c r="G1014" i="1"/>
  <c r="F1014" i="1"/>
  <c r="E1014" i="1"/>
  <c r="H1014" i="1" s="1"/>
  <c r="D1014" i="1"/>
  <c r="B1014" i="1"/>
  <c r="G1013" i="1"/>
  <c r="F1013" i="1"/>
  <c r="E1013" i="1"/>
  <c r="D1013" i="1"/>
  <c r="H1013" i="1" s="1"/>
  <c r="B1013" i="1"/>
  <c r="F1012" i="1"/>
  <c r="E1012" i="1"/>
  <c r="D1012" i="1"/>
  <c r="B1012" i="1"/>
  <c r="F1011" i="1"/>
  <c r="E1011" i="1"/>
  <c r="D1011" i="1"/>
  <c r="B1011" i="1"/>
  <c r="F1010" i="1"/>
  <c r="E1010" i="1"/>
  <c r="D1010" i="1"/>
  <c r="B1010" i="1"/>
  <c r="G1009" i="1"/>
  <c r="F1009" i="1"/>
  <c r="E1009" i="1"/>
  <c r="D1009" i="1"/>
  <c r="B1009" i="1"/>
  <c r="G1008" i="1"/>
  <c r="F1008" i="1"/>
  <c r="E1008" i="1"/>
  <c r="D1008" i="1"/>
  <c r="H1008" i="1" s="1"/>
  <c r="B1008" i="1"/>
  <c r="F1007" i="1"/>
  <c r="E1007" i="1"/>
  <c r="D1007" i="1"/>
  <c r="B1007" i="1"/>
  <c r="G1006" i="1"/>
  <c r="F1006" i="1"/>
  <c r="E1006" i="1"/>
  <c r="H1006" i="1" s="1"/>
  <c r="D1006" i="1"/>
  <c r="B1006" i="1"/>
  <c r="F1005" i="1"/>
  <c r="E1005" i="1"/>
  <c r="D1005" i="1"/>
  <c r="B1005" i="1"/>
  <c r="G1004" i="1"/>
  <c r="F1004" i="1"/>
  <c r="E1004" i="1"/>
  <c r="D1004" i="1"/>
  <c r="B1004" i="1"/>
  <c r="F1003" i="1"/>
  <c r="E1003" i="1"/>
  <c r="D1003" i="1"/>
  <c r="B1003" i="1"/>
  <c r="G1002" i="1"/>
  <c r="F1002" i="1"/>
  <c r="E1002" i="1"/>
  <c r="H1002" i="1" s="1"/>
  <c r="D1002" i="1"/>
  <c r="B1002" i="1"/>
  <c r="F1001" i="1"/>
  <c r="E1001" i="1"/>
  <c r="G1001" i="1" s="1"/>
  <c r="D1001" i="1"/>
  <c r="B1001" i="1"/>
  <c r="F1000" i="1"/>
  <c r="E1000" i="1"/>
  <c r="G1000" i="1" s="1"/>
  <c r="D1000" i="1"/>
  <c r="B1000" i="1"/>
  <c r="F999" i="1"/>
  <c r="E999" i="1"/>
  <c r="D999" i="1"/>
  <c r="B999" i="1"/>
  <c r="G998" i="1"/>
  <c r="F998" i="1"/>
  <c r="E998" i="1"/>
  <c r="H998" i="1" s="1"/>
  <c r="D998" i="1"/>
  <c r="B998" i="1"/>
  <c r="F997" i="1"/>
  <c r="E997" i="1"/>
  <c r="G997" i="1" s="1"/>
  <c r="D997" i="1"/>
  <c r="B997" i="1"/>
  <c r="F996" i="1"/>
  <c r="E996" i="1"/>
  <c r="G996" i="1" s="1"/>
  <c r="D996" i="1"/>
  <c r="B996" i="1"/>
  <c r="F995" i="1"/>
  <c r="E995" i="1"/>
  <c r="D995" i="1"/>
  <c r="B995" i="1"/>
  <c r="F994" i="1"/>
  <c r="E994" i="1"/>
  <c r="D994" i="1"/>
  <c r="G994" i="1" s="1"/>
  <c r="B994" i="1"/>
  <c r="F993" i="1"/>
  <c r="E993" i="1"/>
  <c r="G993" i="1" s="1"/>
  <c r="D993" i="1"/>
  <c r="H993" i="1" s="1"/>
  <c r="B993" i="1"/>
  <c r="F992" i="1"/>
  <c r="E992" i="1"/>
  <c r="D992" i="1"/>
  <c r="B992" i="1"/>
  <c r="F991" i="1"/>
  <c r="E991" i="1"/>
  <c r="D991" i="1"/>
  <c r="B991" i="1"/>
  <c r="F990" i="1"/>
  <c r="E990" i="1"/>
  <c r="D990" i="1"/>
  <c r="B990" i="1"/>
  <c r="G989" i="1"/>
  <c r="F989" i="1"/>
  <c r="E989" i="1"/>
  <c r="D989" i="1"/>
  <c r="B989" i="1"/>
  <c r="F988" i="1"/>
  <c r="E988" i="1"/>
  <c r="G988" i="1" s="1"/>
  <c r="D988" i="1"/>
  <c r="B988" i="1"/>
  <c r="F987" i="1"/>
  <c r="E987" i="1"/>
  <c r="D987" i="1"/>
  <c r="B987" i="1"/>
  <c r="G986" i="1"/>
  <c r="F986" i="1"/>
  <c r="E986" i="1"/>
  <c r="H986" i="1" s="1"/>
  <c r="D986" i="1"/>
  <c r="B986" i="1"/>
  <c r="F985" i="1"/>
  <c r="E985" i="1"/>
  <c r="D985" i="1"/>
  <c r="B985" i="1"/>
  <c r="F984" i="1"/>
  <c r="E984" i="1"/>
  <c r="G984" i="1" s="1"/>
  <c r="D984" i="1"/>
  <c r="B984" i="1"/>
  <c r="F983" i="1"/>
  <c r="E983" i="1"/>
  <c r="D983" i="1"/>
  <c r="B983" i="1"/>
  <c r="G982" i="1"/>
  <c r="F982" i="1"/>
  <c r="E982" i="1"/>
  <c r="H982" i="1" s="1"/>
  <c r="D982" i="1"/>
  <c r="B982" i="1"/>
  <c r="G981" i="1"/>
  <c r="F981" i="1"/>
  <c r="E981" i="1"/>
  <c r="D981" i="1"/>
  <c r="B981" i="1"/>
  <c r="G980" i="1"/>
  <c r="F980" i="1"/>
  <c r="E980" i="1"/>
  <c r="D980" i="1"/>
  <c r="H980" i="1" s="1"/>
  <c r="B980" i="1"/>
  <c r="F979" i="1"/>
  <c r="E979" i="1"/>
  <c r="D979" i="1"/>
  <c r="B979" i="1"/>
  <c r="F978" i="1"/>
  <c r="E978" i="1"/>
  <c r="D978" i="1"/>
  <c r="G978" i="1" s="1"/>
  <c r="B978" i="1"/>
  <c r="G977" i="1"/>
  <c r="F977" i="1"/>
  <c r="E977" i="1"/>
  <c r="D977" i="1"/>
  <c r="B977" i="1"/>
  <c r="G976" i="1"/>
  <c r="F976" i="1"/>
  <c r="E976" i="1"/>
  <c r="D976" i="1"/>
  <c r="B976" i="1"/>
  <c r="F975" i="1"/>
  <c r="E975" i="1"/>
  <c r="D975" i="1"/>
  <c r="B975" i="1"/>
  <c r="G974" i="1"/>
  <c r="F974" i="1"/>
  <c r="E974" i="1"/>
  <c r="H974" i="1" s="1"/>
  <c r="D974" i="1"/>
  <c r="B974" i="1"/>
  <c r="F973" i="1"/>
  <c r="E973" i="1"/>
  <c r="G973" i="1" s="1"/>
  <c r="D973" i="1"/>
  <c r="B973" i="1"/>
  <c r="G972" i="1"/>
  <c r="F972" i="1"/>
  <c r="E972" i="1"/>
  <c r="D972" i="1"/>
  <c r="B972" i="1"/>
  <c r="F971" i="1"/>
  <c r="E971" i="1"/>
  <c r="D971" i="1"/>
  <c r="B971" i="1"/>
  <c r="G970" i="1"/>
  <c r="F970" i="1"/>
  <c r="E970" i="1"/>
  <c r="H970" i="1" s="1"/>
  <c r="D970" i="1"/>
  <c r="B970" i="1"/>
  <c r="F969" i="1"/>
  <c r="E969" i="1"/>
  <c r="G969" i="1" s="1"/>
  <c r="D969" i="1"/>
  <c r="B969" i="1"/>
  <c r="F968" i="1"/>
  <c r="E968" i="1"/>
  <c r="G968" i="1" s="1"/>
  <c r="D968" i="1"/>
  <c r="B968" i="1"/>
  <c r="F967" i="1"/>
  <c r="E967" i="1"/>
  <c r="D967" i="1"/>
  <c r="B967" i="1"/>
  <c r="G966" i="1"/>
  <c r="F966" i="1"/>
  <c r="E966" i="1"/>
  <c r="H966" i="1" s="1"/>
  <c r="D966" i="1"/>
  <c r="B966" i="1"/>
  <c r="F965" i="1"/>
  <c r="E965" i="1"/>
  <c r="G965" i="1" s="1"/>
  <c r="D965" i="1"/>
  <c r="B965" i="1"/>
  <c r="F964" i="1"/>
  <c r="E964" i="1"/>
  <c r="G964" i="1" s="1"/>
  <c r="D964" i="1"/>
  <c r="B964" i="1"/>
  <c r="F963" i="1"/>
  <c r="E963" i="1"/>
  <c r="D963" i="1"/>
  <c r="B963" i="1"/>
  <c r="G962" i="1"/>
  <c r="F962" i="1"/>
  <c r="E962" i="1"/>
  <c r="H962" i="1" s="1"/>
  <c r="D962" i="1"/>
  <c r="B962" i="1"/>
  <c r="F961" i="1"/>
  <c r="E961" i="1"/>
  <c r="G961" i="1" s="1"/>
  <c r="D961" i="1"/>
  <c r="H961" i="1" s="1"/>
  <c r="B961" i="1"/>
  <c r="F960" i="1"/>
  <c r="E960" i="1"/>
  <c r="G960" i="1" s="1"/>
  <c r="D960" i="1"/>
  <c r="B960" i="1"/>
  <c r="F959" i="1"/>
  <c r="E959" i="1"/>
  <c r="H959" i="1" s="1"/>
  <c r="D959" i="1"/>
  <c r="B959" i="1"/>
  <c r="F958" i="1"/>
  <c r="E958" i="1"/>
  <c r="H958" i="1" s="1"/>
  <c r="D958" i="1"/>
  <c r="B958" i="1"/>
  <c r="G957" i="1"/>
  <c r="F957" i="1"/>
  <c r="E957" i="1"/>
  <c r="D957" i="1"/>
  <c r="B957" i="1"/>
  <c r="F956" i="1"/>
  <c r="E956" i="1"/>
  <c r="G956" i="1" s="1"/>
  <c r="D956" i="1"/>
  <c r="B956" i="1"/>
  <c r="G955" i="1"/>
  <c r="F955" i="1"/>
  <c r="E955" i="1"/>
  <c r="H955" i="1" s="1"/>
  <c r="D955" i="1"/>
  <c r="B955" i="1"/>
  <c r="G954" i="1"/>
  <c r="F954" i="1"/>
  <c r="E954" i="1"/>
  <c r="H954" i="1" s="1"/>
  <c r="D954" i="1"/>
  <c r="B954" i="1"/>
  <c r="F953" i="1"/>
  <c r="E953" i="1"/>
  <c r="G953" i="1" s="1"/>
  <c r="D953" i="1"/>
  <c r="H953" i="1" s="1"/>
  <c r="B953" i="1"/>
  <c r="F952" i="1"/>
  <c r="E952" i="1"/>
  <c r="G952" i="1" s="1"/>
  <c r="D952" i="1"/>
  <c r="B952" i="1"/>
  <c r="F951" i="1"/>
  <c r="E951" i="1"/>
  <c r="D951" i="1"/>
  <c r="B951" i="1"/>
  <c r="F950" i="1"/>
  <c r="E950" i="1"/>
  <c r="H950" i="1" s="1"/>
  <c r="D950" i="1"/>
  <c r="B950" i="1"/>
  <c r="F949" i="1"/>
  <c r="E949" i="1"/>
  <c r="D949" i="1"/>
  <c r="G949" i="1" s="1"/>
  <c r="B949" i="1"/>
  <c r="G948" i="1"/>
  <c r="F948" i="1"/>
  <c r="E948" i="1"/>
  <c r="D948" i="1"/>
  <c r="H948" i="1" s="1"/>
  <c r="B948" i="1"/>
  <c r="G947" i="1"/>
  <c r="F947" i="1"/>
  <c r="E947" i="1"/>
  <c r="D947" i="1"/>
  <c r="B947" i="1"/>
  <c r="G946" i="1"/>
  <c r="F946" i="1"/>
  <c r="E946" i="1"/>
  <c r="H946" i="1" s="1"/>
  <c r="D946" i="1"/>
  <c r="B946" i="1"/>
  <c r="F945" i="1"/>
  <c r="E945" i="1"/>
  <c r="G945" i="1" s="1"/>
  <c r="D945" i="1"/>
  <c r="H945" i="1" s="1"/>
  <c r="B945" i="1"/>
  <c r="F944" i="1"/>
  <c r="E944" i="1"/>
  <c r="G944" i="1" s="1"/>
  <c r="D944" i="1"/>
  <c r="B944" i="1"/>
  <c r="F943" i="1"/>
  <c r="E943" i="1"/>
  <c r="D943" i="1"/>
  <c r="B943" i="1"/>
  <c r="F942" i="1"/>
  <c r="E942" i="1"/>
  <c r="H942" i="1" s="1"/>
  <c r="D942" i="1"/>
  <c r="B942" i="1"/>
  <c r="G941" i="1"/>
  <c r="F941" i="1"/>
  <c r="E941" i="1"/>
  <c r="D941" i="1"/>
  <c r="H941" i="1" s="1"/>
  <c r="B941" i="1"/>
  <c r="F940" i="1"/>
  <c r="E940" i="1"/>
  <c r="G940" i="1" s="1"/>
  <c r="D940" i="1"/>
  <c r="B940" i="1"/>
  <c r="G939" i="1"/>
  <c r="F939" i="1"/>
  <c r="E939" i="1"/>
  <c r="H939" i="1" s="1"/>
  <c r="D939" i="1"/>
  <c r="B939" i="1"/>
  <c r="G938" i="1"/>
  <c r="F938" i="1"/>
  <c r="E938" i="1"/>
  <c r="H938" i="1" s="1"/>
  <c r="D938" i="1"/>
  <c r="B938" i="1"/>
  <c r="F937" i="1"/>
  <c r="E937" i="1"/>
  <c r="G937" i="1" s="1"/>
  <c r="D937" i="1"/>
  <c r="H937" i="1" s="1"/>
  <c r="B937" i="1"/>
  <c r="F936" i="1"/>
  <c r="E936" i="1"/>
  <c r="G936" i="1" s="1"/>
  <c r="D936" i="1"/>
  <c r="B936" i="1"/>
  <c r="F935" i="1"/>
  <c r="E935" i="1"/>
  <c r="D935" i="1"/>
  <c r="B935" i="1"/>
  <c r="F934" i="1"/>
  <c r="E934" i="1"/>
  <c r="H934" i="1" s="1"/>
  <c r="D934" i="1"/>
  <c r="B934" i="1"/>
  <c r="F933" i="1"/>
  <c r="E933" i="1"/>
  <c r="D933" i="1"/>
  <c r="B933" i="1"/>
  <c r="G932" i="1"/>
  <c r="F932" i="1"/>
  <c r="E932" i="1"/>
  <c r="D932" i="1"/>
  <c r="H932" i="1" s="1"/>
  <c r="B932" i="1"/>
  <c r="G931" i="1"/>
  <c r="F931" i="1"/>
  <c r="E931" i="1"/>
  <c r="D931" i="1"/>
  <c r="B931" i="1"/>
  <c r="G930" i="1"/>
  <c r="F930" i="1"/>
  <c r="E930" i="1"/>
  <c r="H930" i="1" s="1"/>
  <c r="D930" i="1"/>
  <c r="B930" i="1"/>
  <c r="F929" i="1"/>
  <c r="E929" i="1"/>
  <c r="G929" i="1" s="1"/>
  <c r="D929" i="1"/>
  <c r="H929" i="1" s="1"/>
  <c r="B929" i="1"/>
  <c r="F928" i="1"/>
  <c r="E928" i="1"/>
  <c r="G928" i="1" s="1"/>
  <c r="D928" i="1"/>
  <c r="B928" i="1"/>
  <c r="F927" i="1"/>
  <c r="E927" i="1"/>
  <c r="D927" i="1"/>
  <c r="B927" i="1"/>
  <c r="F926" i="1"/>
  <c r="E926" i="1"/>
  <c r="H926" i="1" s="1"/>
  <c r="D926" i="1"/>
  <c r="B926" i="1"/>
  <c r="G925" i="1"/>
  <c r="F925" i="1"/>
  <c r="E925" i="1"/>
  <c r="D925" i="1"/>
  <c r="H925" i="1" s="1"/>
  <c r="B925" i="1"/>
  <c r="F924" i="1"/>
  <c r="E924" i="1"/>
  <c r="G924" i="1" s="1"/>
  <c r="D924" i="1"/>
  <c r="B924" i="1"/>
  <c r="G923" i="1"/>
  <c r="F923" i="1"/>
  <c r="E923" i="1"/>
  <c r="H923" i="1" s="1"/>
  <c r="D923" i="1"/>
  <c r="B923" i="1"/>
  <c r="G922" i="1"/>
  <c r="F922" i="1"/>
  <c r="E922" i="1"/>
  <c r="H922" i="1" s="1"/>
  <c r="D922" i="1"/>
  <c r="B922" i="1"/>
  <c r="F921" i="1"/>
  <c r="E921" i="1"/>
  <c r="G921" i="1" s="1"/>
  <c r="D921" i="1"/>
  <c r="H921" i="1" s="1"/>
  <c r="B921" i="1"/>
  <c r="F920" i="1"/>
  <c r="E920" i="1"/>
  <c r="G920" i="1" s="1"/>
  <c r="D920" i="1"/>
  <c r="B920" i="1"/>
  <c r="F919" i="1"/>
  <c r="E919" i="1"/>
  <c r="D919" i="1"/>
  <c r="B919" i="1"/>
  <c r="F918" i="1"/>
  <c r="E918" i="1"/>
  <c r="H918" i="1" s="1"/>
  <c r="D918" i="1"/>
  <c r="B918" i="1"/>
  <c r="F917" i="1"/>
  <c r="E917" i="1"/>
  <c r="D917" i="1"/>
  <c r="B917" i="1"/>
  <c r="G916" i="1"/>
  <c r="F916" i="1"/>
  <c r="E916" i="1"/>
  <c r="D916" i="1"/>
  <c r="H916" i="1" s="1"/>
  <c r="B916" i="1"/>
  <c r="G915" i="1"/>
  <c r="F915" i="1"/>
  <c r="E915" i="1"/>
  <c r="D915" i="1"/>
  <c r="B915" i="1"/>
  <c r="G914" i="1"/>
  <c r="F914" i="1"/>
  <c r="E914" i="1"/>
  <c r="H914" i="1" s="1"/>
  <c r="D914" i="1"/>
  <c r="B914" i="1"/>
  <c r="F913" i="1"/>
  <c r="E913" i="1"/>
  <c r="G913" i="1" s="1"/>
  <c r="D913" i="1"/>
  <c r="H913" i="1" s="1"/>
  <c r="B913" i="1"/>
  <c r="F912" i="1"/>
  <c r="E912" i="1"/>
  <c r="G912" i="1" s="1"/>
  <c r="D912" i="1"/>
  <c r="B912" i="1"/>
  <c r="F911" i="1"/>
  <c r="E911" i="1"/>
  <c r="D911" i="1"/>
  <c r="B911" i="1"/>
  <c r="F910" i="1"/>
  <c r="E910" i="1"/>
  <c r="H910" i="1" s="1"/>
  <c r="D910" i="1"/>
  <c r="B910" i="1"/>
  <c r="G909" i="1"/>
  <c r="F909" i="1"/>
  <c r="E909" i="1"/>
  <c r="D909" i="1"/>
  <c r="H909" i="1" s="1"/>
  <c r="B909" i="1"/>
  <c r="F908" i="1"/>
  <c r="E908" i="1"/>
  <c r="G908" i="1" s="1"/>
  <c r="D908" i="1"/>
  <c r="B908" i="1"/>
  <c r="G907" i="1"/>
  <c r="F907" i="1"/>
  <c r="E907" i="1"/>
  <c r="H907" i="1" s="1"/>
  <c r="D907" i="1"/>
  <c r="B907" i="1"/>
  <c r="G906" i="1"/>
  <c r="F906" i="1"/>
  <c r="E906" i="1"/>
  <c r="H906" i="1" s="1"/>
  <c r="D906" i="1"/>
  <c r="B906" i="1"/>
  <c r="F905" i="1"/>
  <c r="E905" i="1"/>
  <c r="G905" i="1" s="1"/>
  <c r="D905" i="1"/>
  <c r="H905" i="1" s="1"/>
  <c r="B905" i="1"/>
  <c r="F904" i="1"/>
  <c r="E904" i="1"/>
  <c r="G904" i="1" s="1"/>
  <c r="D904" i="1"/>
  <c r="B904" i="1"/>
  <c r="F903" i="1"/>
  <c r="E903" i="1"/>
  <c r="D903" i="1"/>
  <c r="B903" i="1"/>
  <c r="F902" i="1"/>
  <c r="E902" i="1"/>
  <c r="D902" i="1"/>
  <c r="B902" i="1"/>
  <c r="F901" i="1"/>
  <c r="E901" i="1"/>
  <c r="D901" i="1"/>
  <c r="B901" i="1"/>
  <c r="G900" i="1"/>
  <c r="F900" i="1"/>
  <c r="E900" i="1"/>
  <c r="D900" i="1"/>
  <c r="B900" i="1"/>
  <c r="G899" i="1"/>
  <c r="F899" i="1"/>
  <c r="E899" i="1"/>
  <c r="D899" i="1"/>
  <c r="B899" i="1"/>
  <c r="G898" i="1"/>
  <c r="F898" i="1"/>
  <c r="E898" i="1"/>
  <c r="H898" i="1" s="1"/>
  <c r="D898" i="1"/>
  <c r="B898" i="1"/>
  <c r="F897" i="1"/>
  <c r="E897" i="1"/>
  <c r="G897" i="1" s="1"/>
  <c r="D897" i="1"/>
  <c r="H897" i="1" s="1"/>
  <c r="B897" i="1"/>
  <c r="F896" i="1"/>
  <c r="E896" i="1"/>
  <c r="G896" i="1" s="1"/>
  <c r="D896" i="1"/>
  <c r="B896" i="1"/>
  <c r="F895" i="1"/>
  <c r="E895" i="1"/>
  <c r="D895" i="1"/>
  <c r="B895" i="1"/>
  <c r="F894" i="1"/>
  <c r="E894" i="1"/>
  <c r="D894" i="1"/>
  <c r="B894" i="1"/>
  <c r="G893" i="1"/>
  <c r="F893" i="1"/>
  <c r="E893" i="1"/>
  <c r="D893" i="1"/>
  <c r="H893" i="1" s="1"/>
  <c r="B893" i="1"/>
  <c r="F892" i="1"/>
  <c r="E892" i="1"/>
  <c r="G892" i="1" s="1"/>
  <c r="D892" i="1"/>
  <c r="B892" i="1"/>
  <c r="G891" i="1"/>
  <c r="F891" i="1"/>
  <c r="E891" i="1"/>
  <c r="H891" i="1" s="1"/>
  <c r="D891" i="1"/>
  <c r="B891" i="1"/>
  <c r="G890" i="1"/>
  <c r="F890" i="1"/>
  <c r="E890" i="1"/>
  <c r="H890" i="1" s="1"/>
  <c r="D890" i="1"/>
  <c r="B890" i="1"/>
  <c r="F889" i="1"/>
  <c r="E889" i="1"/>
  <c r="G889" i="1" s="1"/>
  <c r="D889" i="1"/>
  <c r="H889" i="1" s="1"/>
  <c r="B889" i="1"/>
  <c r="F888" i="1"/>
  <c r="E888" i="1"/>
  <c r="G888" i="1" s="1"/>
  <c r="D888" i="1"/>
  <c r="B888" i="1"/>
  <c r="F887" i="1"/>
  <c r="E887" i="1"/>
  <c r="D887" i="1"/>
  <c r="B887" i="1"/>
  <c r="F886" i="1"/>
  <c r="E886" i="1"/>
  <c r="H886" i="1" s="1"/>
  <c r="D886" i="1"/>
  <c r="B886" i="1"/>
  <c r="F885" i="1"/>
  <c r="E885" i="1"/>
  <c r="D885" i="1"/>
  <c r="B885" i="1"/>
  <c r="F884" i="1"/>
  <c r="E884" i="1"/>
  <c r="G884" i="1" s="1"/>
  <c r="D884" i="1"/>
  <c r="H884" i="1" s="1"/>
  <c r="B884" i="1"/>
  <c r="F883" i="1"/>
  <c r="E883" i="1"/>
  <c r="D883" i="1"/>
  <c r="B883" i="1"/>
  <c r="G882" i="1"/>
  <c r="F882" i="1"/>
  <c r="E882" i="1"/>
  <c r="H882" i="1" s="1"/>
  <c r="D882" i="1"/>
  <c r="B882" i="1"/>
  <c r="F881" i="1"/>
  <c r="E881" i="1"/>
  <c r="G881" i="1" s="1"/>
  <c r="D881" i="1"/>
  <c r="B881" i="1"/>
  <c r="G880" i="1"/>
  <c r="F880" i="1"/>
  <c r="E880" i="1"/>
  <c r="D880" i="1"/>
  <c r="B880" i="1"/>
  <c r="F879" i="1"/>
  <c r="E879" i="1"/>
  <c r="D879" i="1"/>
  <c r="B879" i="1"/>
  <c r="F878" i="1"/>
  <c r="E878" i="1"/>
  <c r="D878" i="1"/>
  <c r="G878" i="1" s="1"/>
  <c r="B878" i="1"/>
  <c r="G877" i="1"/>
  <c r="F877" i="1"/>
  <c r="E877" i="1"/>
  <c r="D877" i="1"/>
  <c r="H877" i="1" s="1"/>
  <c r="B877" i="1"/>
  <c r="F876" i="1"/>
  <c r="E876" i="1"/>
  <c r="G876" i="1" s="1"/>
  <c r="D876" i="1"/>
  <c r="B876" i="1"/>
  <c r="G875" i="1"/>
  <c r="F875" i="1"/>
  <c r="E875" i="1"/>
  <c r="H875" i="1" s="1"/>
  <c r="D875" i="1"/>
  <c r="B875" i="1"/>
  <c r="F874" i="1"/>
  <c r="E874" i="1"/>
  <c r="D874" i="1"/>
  <c r="B874" i="1"/>
  <c r="F873" i="1"/>
  <c r="E873" i="1"/>
  <c r="G873" i="1" s="1"/>
  <c r="D873" i="1"/>
  <c r="H873" i="1" s="1"/>
  <c r="B873" i="1"/>
  <c r="F872" i="1"/>
  <c r="E872" i="1"/>
  <c r="G872" i="1" s="1"/>
  <c r="D872" i="1"/>
  <c r="B872" i="1"/>
  <c r="F871" i="1"/>
  <c r="E871" i="1"/>
  <c r="D871" i="1"/>
  <c r="B871" i="1"/>
  <c r="G870" i="1"/>
  <c r="F870" i="1"/>
  <c r="E870" i="1"/>
  <c r="H870" i="1" s="1"/>
  <c r="D870" i="1"/>
  <c r="B870" i="1"/>
  <c r="F869" i="1"/>
  <c r="E869" i="1"/>
  <c r="D869" i="1"/>
  <c r="B869" i="1"/>
  <c r="G868" i="1"/>
  <c r="F868" i="1"/>
  <c r="E868" i="1"/>
  <c r="D868" i="1"/>
  <c r="H868" i="1" s="1"/>
  <c r="B868" i="1"/>
  <c r="G867" i="1"/>
  <c r="F867" i="1"/>
  <c r="E867" i="1"/>
  <c r="D867" i="1"/>
  <c r="B867" i="1"/>
  <c r="F866" i="1"/>
  <c r="E866" i="1"/>
  <c r="H866" i="1" s="1"/>
  <c r="D866" i="1"/>
  <c r="B866" i="1"/>
  <c r="F865" i="1"/>
  <c r="E865" i="1"/>
  <c r="G865" i="1" s="1"/>
  <c r="D865" i="1"/>
  <c r="B865" i="1"/>
  <c r="G864" i="1"/>
  <c r="F864" i="1"/>
  <c r="E864" i="1"/>
  <c r="D864" i="1"/>
  <c r="B864" i="1"/>
  <c r="F863" i="1"/>
  <c r="E863" i="1"/>
  <c r="D863" i="1"/>
  <c r="B863" i="1"/>
  <c r="F862" i="1"/>
  <c r="E862" i="1"/>
  <c r="H862" i="1" s="1"/>
  <c r="D862" i="1"/>
  <c r="B862" i="1"/>
  <c r="G861" i="1"/>
  <c r="F861" i="1"/>
  <c r="E861" i="1"/>
  <c r="D861" i="1"/>
  <c r="H861" i="1" s="1"/>
  <c r="B861" i="1"/>
  <c r="F860" i="1"/>
  <c r="E860" i="1"/>
  <c r="G860" i="1" s="1"/>
  <c r="D860" i="1"/>
  <c r="B860" i="1"/>
  <c r="G859" i="1"/>
  <c r="F859" i="1"/>
  <c r="E859" i="1"/>
  <c r="H859" i="1" s="1"/>
  <c r="D859" i="1"/>
  <c r="B859" i="1"/>
  <c r="G858" i="1"/>
  <c r="F858" i="1"/>
  <c r="E858" i="1"/>
  <c r="H858" i="1" s="1"/>
  <c r="D858" i="1"/>
  <c r="B858" i="1"/>
  <c r="F857" i="1"/>
  <c r="E857" i="1"/>
  <c r="G857" i="1" s="1"/>
  <c r="D857" i="1"/>
  <c r="H857" i="1" s="1"/>
  <c r="B857" i="1"/>
  <c r="F856" i="1"/>
  <c r="E856" i="1"/>
  <c r="G856" i="1" s="1"/>
  <c r="D856" i="1"/>
  <c r="B856" i="1"/>
  <c r="F855" i="1"/>
  <c r="E855" i="1"/>
  <c r="D855" i="1"/>
  <c r="B855" i="1"/>
  <c r="F854" i="1"/>
  <c r="E854" i="1"/>
  <c r="H854" i="1" s="1"/>
  <c r="D854" i="1"/>
  <c r="B854" i="1"/>
  <c r="F853" i="1"/>
  <c r="E853" i="1"/>
  <c r="D853" i="1"/>
  <c r="B853" i="1"/>
  <c r="F852" i="1"/>
  <c r="E852" i="1"/>
  <c r="G852" i="1" s="1"/>
  <c r="D852" i="1"/>
  <c r="H852" i="1" s="1"/>
  <c r="B852" i="1"/>
  <c r="F851" i="1"/>
  <c r="E851" i="1"/>
  <c r="D851" i="1"/>
  <c r="B851" i="1"/>
  <c r="G850" i="1"/>
  <c r="F850" i="1"/>
  <c r="E850" i="1"/>
  <c r="H850" i="1" s="1"/>
  <c r="D850" i="1"/>
  <c r="B850" i="1"/>
  <c r="F849" i="1"/>
  <c r="E849" i="1"/>
  <c r="G849" i="1" s="1"/>
  <c r="D849" i="1"/>
  <c r="B849" i="1"/>
  <c r="G848" i="1"/>
  <c r="F848" i="1"/>
  <c r="E848" i="1"/>
  <c r="D848" i="1"/>
  <c r="B848" i="1"/>
  <c r="F847" i="1"/>
  <c r="E847" i="1"/>
  <c r="D847" i="1"/>
  <c r="B847" i="1"/>
  <c r="F846" i="1"/>
  <c r="E846" i="1"/>
  <c r="D846" i="1"/>
  <c r="G846" i="1" s="1"/>
  <c r="B846" i="1"/>
  <c r="G845" i="1"/>
  <c r="F845" i="1"/>
  <c r="E845" i="1"/>
  <c r="D845" i="1"/>
  <c r="H845" i="1" s="1"/>
  <c r="B845" i="1"/>
  <c r="F844" i="1"/>
  <c r="E844" i="1"/>
  <c r="G844" i="1" s="1"/>
  <c r="D844" i="1"/>
  <c r="B844" i="1"/>
  <c r="G843" i="1"/>
  <c r="F843" i="1"/>
  <c r="E843" i="1"/>
  <c r="H843" i="1" s="1"/>
  <c r="D843" i="1"/>
  <c r="B843" i="1"/>
  <c r="F842" i="1"/>
  <c r="E842" i="1"/>
  <c r="D842" i="1"/>
  <c r="B842" i="1"/>
  <c r="F841" i="1"/>
  <c r="E841" i="1"/>
  <c r="G841" i="1" s="1"/>
  <c r="D841" i="1"/>
  <c r="H841" i="1" s="1"/>
  <c r="B841" i="1"/>
  <c r="F840" i="1"/>
  <c r="E840" i="1"/>
  <c r="G840" i="1" s="1"/>
  <c r="D840" i="1"/>
  <c r="B840" i="1"/>
  <c r="F839" i="1"/>
  <c r="E839" i="1"/>
  <c r="D839" i="1"/>
  <c r="B839" i="1"/>
  <c r="G838" i="1"/>
  <c r="F838" i="1"/>
  <c r="E838" i="1"/>
  <c r="H838" i="1" s="1"/>
  <c r="D838" i="1"/>
  <c r="B838" i="1"/>
  <c r="F837" i="1"/>
  <c r="E837" i="1"/>
  <c r="D837" i="1"/>
  <c r="B837" i="1"/>
  <c r="G836" i="1"/>
  <c r="F836" i="1"/>
  <c r="E836" i="1"/>
  <c r="D836" i="1"/>
  <c r="H836" i="1" s="1"/>
  <c r="B836" i="1"/>
  <c r="F835" i="1"/>
  <c r="E835" i="1"/>
  <c r="H835" i="1" s="1"/>
  <c r="D835" i="1"/>
  <c r="B835" i="1"/>
  <c r="G834" i="1"/>
  <c r="F834" i="1"/>
  <c r="E834" i="1"/>
  <c r="D834" i="1"/>
  <c r="B834" i="1"/>
  <c r="G833" i="1"/>
  <c r="F833" i="1"/>
  <c r="E833" i="1"/>
  <c r="D833" i="1"/>
  <c r="B833" i="1"/>
  <c r="F832" i="1"/>
  <c r="E832" i="1"/>
  <c r="D832" i="1"/>
  <c r="B832" i="1"/>
  <c r="H831" i="1"/>
  <c r="G831" i="1"/>
  <c r="F831" i="1"/>
  <c r="E831" i="1"/>
  <c r="D831" i="1"/>
  <c r="B831" i="1"/>
  <c r="G830" i="1"/>
  <c r="F830" i="1"/>
  <c r="E830" i="1"/>
  <c r="H830" i="1" s="1"/>
  <c r="D830" i="1"/>
  <c r="B830" i="1"/>
  <c r="F829" i="1"/>
  <c r="E829" i="1"/>
  <c r="D829" i="1"/>
  <c r="B829" i="1"/>
  <c r="F828" i="1"/>
  <c r="E828" i="1"/>
  <c r="G828" i="1" s="1"/>
  <c r="D828" i="1"/>
  <c r="B828" i="1"/>
  <c r="F827" i="1"/>
  <c r="E827" i="1"/>
  <c r="H827" i="1" s="1"/>
  <c r="D827" i="1"/>
  <c r="B827" i="1"/>
  <c r="G826" i="1"/>
  <c r="F826" i="1"/>
  <c r="E826" i="1"/>
  <c r="H826" i="1" s="1"/>
  <c r="D826" i="1"/>
  <c r="B826" i="1"/>
  <c r="F825" i="1"/>
  <c r="E825" i="1"/>
  <c r="D825" i="1"/>
  <c r="B825" i="1"/>
  <c r="F824" i="1"/>
  <c r="E824" i="1"/>
  <c r="D824" i="1"/>
  <c r="B824" i="1"/>
  <c r="F823" i="1"/>
  <c r="H823" i="1" s="1"/>
  <c r="E823" i="1"/>
  <c r="D823" i="1"/>
  <c r="G823" i="1" s="1"/>
  <c r="B823" i="1"/>
  <c r="F822" i="1"/>
  <c r="E822" i="1"/>
  <c r="D822" i="1"/>
  <c r="B822" i="1"/>
  <c r="F821" i="1"/>
  <c r="E821" i="1"/>
  <c r="D821" i="1"/>
  <c r="H821" i="1" s="1"/>
  <c r="B821" i="1"/>
  <c r="F820" i="1"/>
  <c r="E820" i="1"/>
  <c r="D820" i="1"/>
  <c r="B820" i="1"/>
  <c r="G819" i="1"/>
  <c r="F819" i="1"/>
  <c r="E819" i="1"/>
  <c r="H819" i="1" s="1"/>
  <c r="D819" i="1"/>
  <c r="B819" i="1"/>
  <c r="F818" i="1"/>
  <c r="E818" i="1"/>
  <c r="H818" i="1" s="1"/>
  <c r="D818" i="1"/>
  <c r="B818" i="1"/>
  <c r="F817" i="1"/>
  <c r="E817" i="1"/>
  <c r="G817" i="1" s="1"/>
  <c r="D817" i="1"/>
  <c r="B817" i="1"/>
  <c r="F816" i="1"/>
  <c r="E816" i="1"/>
  <c r="D816" i="1"/>
  <c r="B816" i="1"/>
  <c r="H815" i="1"/>
  <c r="F815" i="1"/>
  <c r="E815" i="1"/>
  <c r="D815" i="1"/>
  <c r="G815" i="1" s="1"/>
  <c r="B815" i="1"/>
  <c r="G814" i="1"/>
  <c r="F814" i="1"/>
  <c r="H814" i="1" s="1"/>
  <c r="E814" i="1"/>
  <c r="D814" i="1"/>
  <c r="B814" i="1"/>
  <c r="F813" i="1"/>
  <c r="H813" i="1" s="1"/>
  <c r="E813" i="1"/>
  <c r="D813" i="1"/>
  <c r="G813" i="1" s="1"/>
  <c r="B813" i="1"/>
  <c r="G812" i="1"/>
  <c r="F812" i="1"/>
  <c r="E812" i="1"/>
  <c r="D812" i="1"/>
  <c r="B812" i="1"/>
  <c r="F811" i="1"/>
  <c r="E811" i="1"/>
  <c r="D811" i="1"/>
  <c r="B811" i="1"/>
  <c r="G810" i="1"/>
  <c r="F810" i="1"/>
  <c r="E810" i="1"/>
  <c r="D810" i="1"/>
  <c r="B810" i="1"/>
  <c r="G809" i="1"/>
  <c r="F809" i="1"/>
  <c r="E809" i="1"/>
  <c r="D809" i="1"/>
  <c r="B809" i="1"/>
  <c r="F808" i="1"/>
  <c r="E808" i="1"/>
  <c r="D808" i="1"/>
  <c r="B808" i="1"/>
  <c r="F807" i="1"/>
  <c r="E807" i="1"/>
  <c r="D807" i="1"/>
  <c r="B807" i="1"/>
  <c r="F806" i="1"/>
  <c r="H806" i="1" s="1"/>
  <c r="E806" i="1"/>
  <c r="G806" i="1" s="1"/>
  <c r="D806" i="1"/>
  <c r="B806" i="1"/>
  <c r="H805" i="1"/>
  <c r="F805" i="1"/>
  <c r="E805" i="1"/>
  <c r="D805" i="1"/>
  <c r="G805" i="1" s="1"/>
  <c r="B805" i="1"/>
  <c r="F804" i="1"/>
  <c r="E804" i="1"/>
  <c r="G804" i="1" s="1"/>
  <c r="D804" i="1"/>
  <c r="B804" i="1"/>
  <c r="F803" i="1"/>
  <c r="E803" i="1"/>
  <c r="G803" i="1" s="1"/>
  <c r="D803" i="1"/>
  <c r="B803" i="1"/>
  <c r="F802" i="1"/>
  <c r="E802" i="1"/>
  <c r="D802" i="1"/>
  <c r="G802" i="1" s="1"/>
  <c r="B802" i="1"/>
  <c r="G801" i="1"/>
  <c r="F801" i="1"/>
  <c r="E801" i="1"/>
  <c r="H801" i="1" s="1"/>
  <c r="D801" i="1"/>
  <c r="B801" i="1"/>
  <c r="F800" i="1"/>
  <c r="E800" i="1"/>
  <c r="D800" i="1"/>
  <c r="B800" i="1"/>
  <c r="F799" i="1"/>
  <c r="E799" i="1"/>
  <c r="D799" i="1"/>
  <c r="B799" i="1"/>
  <c r="F798" i="1"/>
  <c r="E798" i="1"/>
  <c r="G798" i="1" s="1"/>
  <c r="D798" i="1"/>
  <c r="B798" i="1"/>
  <c r="H797" i="1"/>
  <c r="F797" i="1"/>
  <c r="E797" i="1"/>
  <c r="D797" i="1"/>
  <c r="G797" i="1" s="1"/>
  <c r="B797" i="1"/>
  <c r="F796" i="1"/>
  <c r="E796" i="1"/>
  <c r="G796" i="1" s="1"/>
  <c r="D796" i="1"/>
  <c r="B796" i="1"/>
  <c r="F795" i="1"/>
  <c r="E795" i="1"/>
  <c r="G795" i="1" s="1"/>
  <c r="D795" i="1"/>
  <c r="B795" i="1"/>
  <c r="F794" i="1"/>
  <c r="E794" i="1"/>
  <c r="D794" i="1"/>
  <c r="B794" i="1"/>
  <c r="H793" i="1"/>
  <c r="F793" i="1"/>
  <c r="E793" i="1"/>
  <c r="G793" i="1" s="1"/>
  <c r="D793" i="1"/>
  <c r="B793" i="1"/>
  <c r="F792" i="1"/>
  <c r="E792" i="1"/>
  <c r="D792" i="1"/>
  <c r="B792" i="1"/>
  <c r="F791" i="1"/>
  <c r="E791" i="1"/>
  <c r="D791" i="1"/>
  <c r="G791" i="1" s="1"/>
  <c r="B791" i="1"/>
  <c r="H790" i="1"/>
  <c r="G790" i="1"/>
  <c r="F790" i="1"/>
  <c r="E790" i="1"/>
  <c r="D790" i="1"/>
  <c r="B790" i="1"/>
  <c r="H789" i="1"/>
  <c r="G789" i="1"/>
  <c r="F789" i="1"/>
  <c r="E789" i="1"/>
  <c r="D789" i="1"/>
  <c r="B789" i="1"/>
  <c r="F788" i="1"/>
  <c r="E788" i="1"/>
  <c r="G788" i="1" s="1"/>
  <c r="D788" i="1"/>
  <c r="B788" i="1"/>
  <c r="G787" i="1"/>
  <c r="F787" i="1"/>
  <c r="E787" i="1"/>
  <c r="H787" i="1" s="1"/>
  <c r="D787" i="1"/>
  <c r="B787" i="1"/>
  <c r="F786" i="1"/>
  <c r="E786" i="1"/>
  <c r="D786" i="1"/>
  <c r="B786" i="1"/>
  <c r="F785" i="1"/>
  <c r="E785" i="1"/>
  <c r="G785" i="1" s="1"/>
  <c r="D785" i="1"/>
  <c r="B785" i="1"/>
  <c r="F784" i="1"/>
  <c r="E784" i="1"/>
  <c r="D784" i="1"/>
  <c r="B784" i="1"/>
  <c r="H783" i="1"/>
  <c r="F783" i="1"/>
  <c r="E783" i="1"/>
  <c r="D783" i="1"/>
  <c r="G783" i="1" s="1"/>
  <c r="B783" i="1"/>
  <c r="G782" i="1"/>
  <c r="F782" i="1"/>
  <c r="H782" i="1" s="1"/>
  <c r="E782" i="1"/>
  <c r="D782" i="1"/>
  <c r="B782" i="1"/>
  <c r="F781" i="1"/>
  <c r="H781" i="1" s="1"/>
  <c r="E781" i="1"/>
  <c r="D781" i="1"/>
  <c r="G781" i="1" s="1"/>
  <c r="B781" i="1"/>
  <c r="G780" i="1"/>
  <c r="F780" i="1"/>
  <c r="E780" i="1"/>
  <c r="D780" i="1"/>
  <c r="B780" i="1"/>
  <c r="F779" i="1"/>
  <c r="E779" i="1"/>
  <c r="H779" i="1" s="1"/>
  <c r="D779" i="1"/>
  <c r="B779" i="1"/>
  <c r="G778" i="1"/>
  <c r="F778" i="1"/>
  <c r="E778" i="1"/>
  <c r="D778" i="1"/>
  <c r="B778" i="1"/>
  <c r="F777" i="1"/>
  <c r="E777" i="1"/>
  <c r="G777" i="1" s="1"/>
  <c r="D777" i="1"/>
  <c r="B777" i="1"/>
  <c r="F776" i="1"/>
  <c r="E776" i="1"/>
  <c r="D776" i="1"/>
  <c r="B776" i="1"/>
  <c r="H775" i="1"/>
  <c r="G775" i="1"/>
  <c r="F775" i="1"/>
  <c r="E775" i="1"/>
  <c r="D775" i="1"/>
  <c r="B775" i="1"/>
  <c r="F774" i="1"/>
  <c r="E774" i="1"/>
  <c r="H774" i="1" s="1"/>
  <c r="D774" i="1"/>
  <c r="B774" i="1"/>
  <c r="H773" i="1"/>
  <c r="F773" i="1"/>
  <c r="E773" i="1"/>
  <c r="D773" i="1"/>
  <c r="G773" i="1" s="1"/>
  <c r="B773" i="1"/>
  <c r="F772" i="1"/>
  <c r="E772" i="1"/>
  <c r="D772" i="1"/>
  <c r="G772" i="1" s="1"/>
  <c r="B772" i="1"/>
  <c r="F771" i="1"/>
  <c r="E771" i="1"/>
  <c r="D771" i="1"/>
  <c r="H771" i="1" s="1"/>
  <c r="B771" i="1"/>
  <c r="F770" i="1"/>
  <c r="E770" i="1"/>
  <c r="H770" i="1" s="1"/>
  <c r="D770" i="1"/>
  <c r="B770" i="1"/>
  <c r="F769" i="1"/>
  <c r="E769" i="1"/>
  <c r="D769" i="1"/>
  <c r="G769" i="1" s="1"/>
  <c r="B769" i="1"/>
  <c r="F768" i="1"/>
  <c r="E768" i="1"/>
  <c r="D768" i="1"/>
  <c r="B768" i="1"/>
  <c r="G767" i="1"/>
  <c r="F767" i="1"/>
  <c r="E767" i="1"/>
  <c r="D767" i="1"/>
  <c r="H767" i="1" s="1"/>
  <c r="B767" i="1"/>
  <c r="F766" i="1"/>
  <c r="E766" i="1"/>
  <c r="D766" i="1"/>
  <c r="G766" i="1" s="1"/>
  <c r="B766" i="1"/>
  <c r="F765" i="1"/>
  <c r="E765" i="1"/>
  <c r="D765" i="1"/>
  <c r="G765" i="1" s="1"/>
  <c r="B765" i="1"/>
  <c r="F764" i="1"/>
  <c r="H764" i="1" s="1"/>
  <c r="E764" i="1"/>
  <c r="D764" i="1"/>
  <c r="G764" i="1" s="1"/>
  <c r="B764" i="1"/>
  <c r="F763" i="1"/>
  <c r="E763" i="1"/>
  <c r="D763" i="1"/>
  <c r="H763" i="1" s="1"/>
  <c r="B763" i="1"/>
  <c r="F762" i="1"/>
  <c r="E762" i="1"/>
  <c r="D762" i="1"/>
  <c r="G762" i="1" s="1"/>
  <c r="B762" i="1"/>
  <c r="F761" i="1"/>
  <c r="E761" i="1"/>
  <c r="D761" i="1"/>
  <c r="G761" i="1" s="1"/>
  <c r="B761" i="1"/>
  <c r="F760" i="1"/>
  <c r="H760" i="1" s="1"/>
  <c r="E760" i="1"/>
  <c r="D760" i="1"/>
  <c r="G760" i="1" s="1"/>
  <c r="B760" i="1"/>
  <c r="F759" i="1"/>
  <c r="E759" i="1"/>
  <c r="D759" i="1"/>
  <c r="H759" i="1" s="1"/>
  <c r="B759" i="1"/>
  <c r="F758" i="1"/>
  <c r="E758" i="1"/>
  <c r="D758" i="1"/>
  <c r="B758" i="1"/>
  <c r="F757" i="1"/>
  <c r="H757" i="1" s="1"/>
  <c r="E757" i="1"/>
  <c r="D757" i="1"/>
  <c r="G757" i="1" s="1"/>
  <c r="B757" i="1"/>
  <c r="F756" i="1"/>
  <c r="E756" i="1"/>
  <c r="D756" i="1"/>
  <c r="G756" i="1" s="1"/>
  <c r="B756" i="1"/>
  <c r="F755" i="1"/>
  <c r="H755" i="1" s="1"/>
  <c r="E755" i="1"/>
  <c r="D755" i="1"/>
  <c r="G755" i="1" s="1"/>
  <c r="B755" i="1"/>
  <c r="F754" i="1"/>
  <c r="E754" i="1"/>
  <c r="D754" i="1"/>
  <c r="B754" i="1"/>
  <c r="F753" i="1"/>
  <c r="E753" i="1"/>
  <c r="D753" i="1"/>
  <c r="G753" i="1" s="1"/>
  <c r="B753" i="1"/>
  <c r="H752" i="1"/>
  <c r="F752" i="1"/>
  <c r="E752" i="1"/>
  <c r="D752" i="1"/>
  <c r="G752" i="1" s="1"/>
  <c r="B752" i="1"/>
  <c r="F751" i="1"/>
  <c r="E751" i="1"/>
  <c r="D751" i="1"/>
  <c r="G751" i="1" s="1"/>
  <c r="B751" i="1"/>
  <c r="F750" i="1"/>
  <c r="E750" i="1"/>
  <c r="D750" i="1"/>
  <c r="B750" i="1"/>
  <c r="F749" i="1"/>
  <c r="E749" i="1"/>
  <c r="D749" i="1"/>
  <c r="B749" i="1"/>
  <c r="H748" i="1"/>
  <c r="F748" i="1"/>
  <c r="E748" i="1"/>
  <c r="D748" i="1"/>
  <c r="G748" i="1" s="1"/>
  <c r="B748" i="1"/>
  <c r="H747" i="1"/>
  <c r="F747" i="1"/>
  <c r="E747" i="1"/>
  <c r="D747" i="1"/>
  <c r="G747" i="1" s="1"/>
  <c r="B747" i="1"/>
  <c r="F746" i="1"/>
  <c r="E746" i="1"/>
  <c r="H746" i="1" s="1"/>
  <c r="D746" i="1"/>
  <c r="B746" i="1"/>
  <c r="F745" i="1"/>
  <c r="E745" i="1"/>
  <c r="D745" i="1"/>
  <c r="G745" i="1" s="1"/>
  <c r="B745" i="1"/>
  <c r="F744" i="1"/>
  <c r="E744" i="1"/>
  <c r="D744" i="1"/>
  <c r="B744" i="1"/>
  <c r="H743" i="1"/>
  <c r="G743" i="1"/>
  <c r="F743" i="1"/>
  <c r="E743" i="1"/>
  <c r="D743" i="1"/>
  <c r="B743" i="1"/>
  <c r="F742" i="1"/>
  <c r="E742" i="1"/>
  <c r="D742" i="1"/>
  <c r="B742" i="1"/>
  <c r="H741" i="1"/>
  <c r="F741" i="1"/>
  <c r="E741" i="1"/>
  <c r="D741" i="1"/>
  <c r="G741" i="1" s="1"/>
  <c r="B741" i="1"/>
  <c r="H740" i="1"/>
  <c r="G740" i="1"/>
  <c r="F740" i="1"/>
  <c r="E740" i="1"/>
  <c r="D740" i="1"/>
  <c r="B740" i="1"/>
  <c r="F739" i="1"/>
  <c r="E739" i="1"/>
  <c r="H739" i="1" s="1"/>
  <c r="D739" i="1"/>
  <c r="B739" i="1"/>
  <c r="F738" i="1"/>
  <c r="E738" i="1"/>
  <c r="D738" i="1"/>
  <c r="B738" i="1"/>
  <c r="F737" i="1"/>
  <c r="E737" i="1"/>
  <c r="D737" i="1"/>
  <c r="B737" i="1"/>
  <c r="H736" i="1"/>
  <c r="F736" i="1"/>
  <c r="E736" i="1"/>
  <c r="D736" i="1"/>
  <c r="G736" i="1" s="1"/>
  <c r="B736" i="1"/>
  <c r="F735" i="1"/>
  <c r="E735" i="1"/>
  <c r="D735" i="1"/>
  <c r="B735" i="1"/>
  <c r="F734" i="1"/>
  <c r="H734" i="1" s="1"/>
  <c r="E734" i="1"/>
  <c r="D734" i="1"/>
  <c r="B734" i="1"/>
  <c r="F733" i="1"/>
  <c r="E733" i="1"/>
  <c r="D733" i="1"/>
  <c r="G733" i="1" s="1"/>
  <c r="B733" i="1"/>
  <c r="F732" i="1"/>
  <c r="E732" i="1"/>
  <c r="D732" i="1"/>
  <c r="H732" i="1" s="1"/>
  <c r="B732" i="1"/>
  <c r="G731" i="1"/>
  <c r="F731" i="1"/>
  <c r="E731" i="1"/>
  <c r="D731" i="1"/>
  <c r="H731" i="1" s="1"/>
  <c r="B731" i="1"/>
  <c r="F730" i="1"/>
  <c r="E730" i="1"/>
  <c r="D730" i="1"/>
  <c r="G730" i="1" s="1"/>
  <c r="B730" i="1"/>
  <c r="F729" i="1"/>
  <c r="E729" i="1"/>
  <c r="D729" i="1"/>
  <c r="G729" i="1" s="1"/>
  <c r="B729" i="1"/>
  <c r="F728" i="1"/>
  <c r="E728" i="1"/>
  <c r="D728" i="1"/>
  <c r="G728" i="1" s="1"/>
  <c r="B728" i="1"/>
  <c r="F727" i="1"/>
  <c r="E727" i="1"/>
  <c r="H727" i="1" s="1"/>
  <c r="D727" i="1"/>
  <c r="G727" i="1" s="1"/>
  <c r="B727" i="1"/>
  <c r="F726" i="1"/>
  <c r="E726" i="1"/>
  <c r="D726" i="1"/>
  <c r="B726" i="1"/>
  <c r="H725" i="1"/>
  <c r="F725" i="1"/>
  <c r="E725" i="1"/>
  <c r="D725" i="1"/>
  <c r="G725" i="1" s="1"/>
  <c r="B725" i="1"/>
  <c r="H724" i="1"/>
  <c r="F724" i="1"/>
  <c r="E724" i="1"/>
  <c r="D724" i="1"/>
  <c r="G724" i="1" s="1"/>
  <c r="B724" i="1"/>
  <c r="F723" i="1"/>
  <c r="E723" i="1"/>
  <c r="D723" i="1"/>
  <c r="H723" i="1" s="1"/>
  <c r="B723" i="1"/>
  <c r="F722" i="1"/>
  <c r="E722" i="1"/>
  <c r="H722" i="1" s="1"/>
  <c r="D722" i="1"/>
  <c r="B722" i="1"/>
  <c r="F721" i="1"/>
  <c r="E721" i="1"/>
  <c r="D721" i="1"/>
  <c r="B721" i="1"/>
  <c r="H720" i="1"/>
  <c r="F720" i="1"/>
  <c r="E720" i="1"/>
  <c r="D720" i="1"/>
  <c r="G720" i="1" s="1"/>
  <c r="B720" i="1"/>
  <c r="F719" i="1"/>
  <c r="E719" i="1"/>
  <c r="D719" i="1"/>
  <c r="B719" i="1"/>
  <c r="F718" i="1"/>
  <c r="H718" i="1" s="1"/>
  <c r="E718" i="1"/>
  <c r="D718" i="1"/>
  <c r="B718" i="1"/>
  <c r="F717" i="1"/>
  <c r="E717" i="1"/>
  <c r="D717" i="1"/>
  <c r="B717" i="1"/>
  <c r="F716" i="1"/>
  <c r="E716" i="1"/>
  <c r="D716" i="1"/>
  <c r="H716" i="1" s="1"/>
  <c r="B716" i="1"/>
  <c r="G715" i="1"/>
  <c r="F715" i="1"/>
  <c r="E715" i="1"/>
  <c r="D715" i="1"/>
  <c r="B715" i="1"/>
  <c r="F714" i="1"/>
  <c r="E714" i="1"/>
  <c r="D714" i="1"/>
  <c r="G714" i="1" s="1"/>
  <c r="B714" i="1"/>
  <c r="F713" i="1"/>
  <c r="E713" i="1"/>
  <c r="D713" i="1"/>
  <c r="G713" i="1" s="1"/>
  <c r="B713" i="1"/>
  <c r="F712" i="1"/>
  <c r="E712" i="1"/>
  <c r="D712" i="1"/>
  <c r="H712" i="1" s="1"/>
  <c r="B712" i="1"/>
  <c r="F711" i="1"/>
  <c r="E711" i="1"/>
  <c r="D711" i="1"/>
  <c r="G711" i="1" s="1"/>
  <c r="B711" i="1"/>
  <c r="F710" i="1"/>
  <c r="E710" i="1"/>
  <c r="D710" i="1"/>
  <c r="H710" i="1" s="1"/>
  <c r="B710" i="1"/>
  <c r="F709" i="1"/>
  <c r="E709" i="1"/>
  <c r="D709" i="1"/>
  <c r="G709" i="1" s="1"/>
  <c r="B709" i="1"/>
  <c r="F708" i="1"/>
  <c r="E708" i="1"/>
  <c r="D708" i="1"/>
  <c r="H708" i="1" s="1"/>
  <c r="B708" i="1"/>
  <c r="F707" i="1"/>
  <c r="E707" i="1"/>
  <c r="D707" i="1"/>
  <c r="G707" i="1" s="1"/>
  <c r="B707" i="1"/>
  <c r="F706" i="1"/>
  <c r="E706" i="1"/>
  <c r="D706" i="1"/>
  <c r="B706" i="1"/>
  <c r="F705" i="1"/>
  <c r="E705" i="1"/>
  <c r="D705" i="1"/>
  <c r="G705" i="1" s="1"/>
  <c r="B705" i="1"/>
  <c r="H704" i="1"/>
  <c r="F704" i="1"/>
  <c r="E704" i="1"/>
  <c r="D704" i="1"/>
  <c r="G704" i="1" s="1"/>
  <c r="B704" i="1"/>
  <c r="F703" i="1"/>
  <c r="E703" i="1"/>
  <c r="D703" i="1"/>
  <c r="H703" i="1" s="1"/>
  <c r="B703" i="1"/>
  <c r="F702" i="1"/>
  <c r="H702" i="1" s="1"/>
  <c r="E702" i="1"/>
  <c r="D702" i="1"/>
  <c r="B702" i="1"/>
  <c r="F701" i="1"/>
  <c r="E701" i="1"/>
  <c r="D701" i="1"/>
  <c r="G701" i="1" s="1"/>
  <c r="B701" i="1"/>
  <c r="F700" i="1"/>
  <c r="E700" i="1"/>
  <c r="D700" i="1"/>
  <c r="B700" i="1"/>
  <c r="F699" i="1"/>
  <c r="E699" i="1"/>
  <c r="D699" i="1"/>
  <c r="B699" i="1"/>
  <c r="F698" i="1"/>
  <c r="E698" i="1"/>
  <c r="D698" i="1"/>
  <c r="G698" i="1" s="1"/>
  <c r="B698" i="1"/>
  <c r="F697" i="1"/>
  <c r="E697" i="1"/>
  <c r="D697" i="1"/>
  <c r="B697" i="1"/>
  <c r="F696" i="1"/>
  <c r="E696" i="1"/>
  <c r="D696" i="1"/>
  <c r="B696" i="1"/>
  <c r="F695" i="1"/>
  <c r="E695" i="1"/>
  <c r="H695" i="1" s="1"/>
  <c r="D695" i="1"/>
  <c r="B695" i="1"/>
  <c r="H694" i="1"/>
  <c r="F694" i="1"/>
  <c r="E694" i="1"/>
  <c r="D694" i="1"/>
  <c r="B694" i="1"/>
  <c r="F693" i="1"/>
  <c r="E693" i="1"/>
  <c r="D693" i="1"/>
  <c r="G693" i="1" s="1"/>
  <c r="B693" i="1"/>
  <c r="H692" i="1"/>
  <c r="F692" i="1"/>
  <c r="E692" i="1"/>
  <c r="D692" i="1"/>
  <c r="G692" i="1" s="1"/>
  <c r="B692" i="1"/>
  <c r="F691" i="1"/>
  <c r="E691" i="1"/>
  <c r="H691" i="1" s="1"/>
  <c r="D691" i="1"/>
  <c r="B691" i="1"/>
  <c r="F690" i="1"/>
  <c r="E690" i="1"/>
  <c r="D690" i="1"/>
  <c r="B690" i="1"/>
  <c r="F689" i="1"/>
  <c r="E689" i="1"/>
  <c r="D689" i="1"/>
  <c r="B689" i="1"/>
  <c r="F688" i="1"/>
  <c r="E688" i="1"/>
  <c r="H688" i="1" s="1"/>
  <c r="D688" i="1"/>
  <c r="B688" i="1"/>
  <c r="F687" i="1"/>
  <c r="E687" i="1"/>
  <c r="D687" i="1"/>
  <c r="B687" i="1"/>
  <c r="F686" i="1"/>
  <c r="E686" i="1"/>
  <c r="D686" i="1"/>
  <c r="B686" i="1"/>
  <c r="F685" i="1"/>
  <c r="E685" i="1"/>
  <c r="D685" i="1"/>
  <c r="B685" i="1"/>
  <c r="F684" i="1"/>
  <c r="E684" i="1"/>
  <c r="D684" i="1"/>
  <c r="B684" i="1"/>
  <c r="F683" i="1"/>
  <c r="E683" i="1"/>
  <c r="H683" i="1" s="1"/>
  <c r="D683" i="1"/>
  <c r="B683" i="1"/>
  <c r="F682" i="1"/>
  <c r="E682" i="1"/>
  <c r="H682" i="1" s="1"/>
  <c r="D682" i="1"/>
  <c r="B682" i="1"/>
  <c r="F681" i="1"/>
  <c r="E681" i="1"/>
  <c r="D681" i="1"/>
  <c r="G681" i="1" s="1"/>
  <c r="B681" i="1"/>
  <c r="F680" i="1"/>
  <c r="E680" i="1"/>
  <c r="D680" i="1"/>
  <c r="B680" i="1"/>
  <c r="F679" i="1"/>
  <c r="E679" i="1"/>
  <c r="D679" i="1"/>
  <c r="H679" i="1" s="1"/>
  <c r="B679" i="1"/>
  <c r="F678" i="1"/>
  <c r="E678" i="1"/>
  <c r="D678" i="1"/>
  <c r="B678" i="1"/>
  <c r="F677" i="1"/>
  <c r="E677" i="1"/>
  <c r="D677" i="1"/>
  <c r="H677" i="1" s="1"/>
  <c r="B677" i="1"/>
  <c r="H676" i="1"/>
  <c r="G676" i="1"/>
  <c r="F676" i="1"/>
  <c r="E676" i="1"/>
  <c r="D676" i="1"/>
  <c r="B676" i="1"/>
  <c r="F675" i="1"/>
  <c r="E675" i="1"/>
  <c r="H675" i="1" s="1"/>
  <c r="D675" i="1"/>
  <c r="G675" i="1" s="1"/>
  <c r="B675" i="1"/>
  <c r="F674" i="1"/>
  <c r="E674" i="1"/>
  <c r="D674" i="1"/>
  <c r="H674" i="1" s="1"/>
  <c r="B674" i="1"/>
  <c r="F673" i="1"/>
  <c r="E673" i="1"/>
  <c r="D673" i="1"/>
  <c r="G673" i="1" s="1"/>
  <c r="B673" i="1"/>
  <c r="F672" i="1"/>
  <c r="E672" i="1"/>
  <c r="D672" i="1"/>
  <c r="H672" i="1" s="1"/>
  <c r="B672" i="1"/>
  <c r="F671" i="1"/>
  <c r="E671" i="1"/>
  <c r="D671" i="1"/>
  <c r="H671" i="1" s="1"/>
  <c r="B671" i="1"/>
  <c r="F670" i="1"/>
  <c r="E670" i="1"/>
  <c r="D670" i="1"/>
  <c r="G670" i="1" s="1"/>
  <c r="B670" i="1"/>
  <c r="F669" i="1"/>
  <c r="E669" i="1"/>
  <c r="H669" i="1" s="1"/>
  <c r="D669" i="1"/>
  <c r="B669" i="1"/>
  <c r="F668" i="1"/>
  <c r="E668" i="1"/>
  <c r="G668" i="1" s="1"/>
  <c r="D668" i="1"/>
  <c r="B668" i="1"/>
  <c r="F667" i="1"/>
  <c r="E667" i="1"/>
  <c r="D667" i="1"/>
  <c r="B667" i="1"/>
  <c r="F666" i="1"/>
  <c r="E666" i="1"/>
  <c r="D666" i="1"/>
  <c r="B666" i="1"/>
  <c r="F665" i="1"/>
  <c r="E665" i="1"/>
  <c r="D665" i="1"/>
  <c r="G665" i="1" s="1"/>
  <c r="B665" i="1"/>
  <c r="F664" i="1"/>
  <c r="E664" i="1"/>
  <c r="D664" i="1"/>
  <c r="H664" i="1" s="1"/>
  <c r="B664" i="1"/>
  <c r="H663" i="1"/>
  <c r="F663" i="1"/>
  <c r="E663" i="1"/>
  <c r="D663" i="1"/>
  <c r="G663" i="1" s="1"/>
  <c r="B663" i="1"/>
  <c r="F662" i="1"/>
  <c r="E662" i="1"/>
  <c r="D662" i="1"/>
  <c r="G662" i="1" s="1"/>
  <c r="B662" i="1"/>
  <c r="F661" i="1"/>
  <c r="H661" i="1" s="1"/>
  <c r="E661" i="1"/>
  <c r="D661" i="1"/>
  <c r="B661" i="1"/>
  <c r="F660" i="1"/>
  <c r="E660" i="1"/>
  <c r="D660" i="1"/>
  <c r="H660" i="1" s="1"/>
  <c r="B660" i="1"/>
  <c r="F659" i="1"/>
  <c r="E659" i="1"/>
  <c r="D659" i="1"/>
  <c r="H659" i="1" s="1"/>
  <c r="B659" i="1"/>
  <c r="F658" i="1"/>
  <c r="E658" i="1"/>
  <c r="D658" i="1"/>
  <c r="B658" i="1"/>
  <c r="F657" i="1"/>
  <c r="E657" i="1"/>
  <c r="D657" i="1"/>
  <c r="H657" i="1" s="1"/>
  <c r="B657" i="1"/>
  <c r="H656" i="1"/>
  <c r="F656" i="1"/>
  <c r="E656" i="1"/>
  <c r="D656" i="1"/>
  <c r="G656" i="1" s="1"/>
  <c r="B656" i="1"/>
  <c r="F655" i="1"/>
  <c r="E655" i="1"/>
  <c r="D655" i="1"/>
  <c r="B655" i="1"/>
  <c r="F654" i="1"/>
  <c r="E654" i="1"/>
  <c r="D654" i="1"/>
  <c r="B654" i="1"/>
  <c r="F653" i="1"/>
  <c r="E653" i="1"/>
  <c r="D653" i="1"/>
  <c r="B653" i="1"/>
  <c r="G652" i="1"/>
  <c r="F652" i="1"/>
  <c r="E652" i="1"/>
  <c r="D652" i="1"/>
  <c r="H652" i="1" s="1"/>
  <c r="B652" i="1"/>
  <c r="F651" i="1"/>
  <c r="E651" i="1"/>
  <c r="D651" i="1"/>
  <c r="B651" i="1"/>
  <c r="G650" i="1"/>
  <c r="F650" i="1"/>
  <c r="E650" i="1"/>
  <c r="H650" i="1" s="1"/>
  <c r="D650" i="1"/>
  <c r="B650" i="1"/>
  <c r="F649" i="1"/>
  <c r="E649" i="1"/>
  <c r="D649" i="1"/>
  <c r="B649" i="1"/>
  <c r="F648" i="1"/>
  <c r="H648" i="1" s="1"/>
  <c r="E648" i="1"/>
  <c r="D648" i="1"/>
  <c r="G648" i="1" s="1"/>
  <c r="B648" i="1"/>
  <c r="F647" i="1"/>
  <c r="E647" i="1"/>
  <c r="D647" i="1"/>
  <c r="B647" i="1"/>
  <c r="F646" i="1"/>
  <c r="E646" i="1"/>
  <c r="D646" i="1"/>
  <c r="H646" i="1" s="1"/>
  <c r="B646" i="1"/>
  <c r="F645" i="1"/>
  <c r="E645" i="1"/>
  <c r="H645" i="1" s="1"/>
  <c r="D645" i="1"/>
  <c r="B645" i="1"/>
  <c r="F644" i="1"/>
  <c r="E644" i="1"/>
  <c r="D644" i="1"/>
  <c r="B644" i="1"/>
  <c r="G643" i="1"/>
  <c r="F643" i="1"/>
  <c r="E643" i="1"/>
  <c r="D643" i="1"/>
  <c r="B643" i="1"/>
  <c r="F642" i="1"/>
  <c r="E642" i="1"/>
  <c r="D642" i="1"/>
  <c r="B642" i="1"/>
  <c r="G641" i="1"/>
  <c r="F641" i="1"/>
  <c r="E641" i="1"/>
  <c r="D641" i="1"/>
  <c r="H641" i="1" s="1"/>
  <c r="B641" i="1"/>
  <c r="F640" i="1"/>
  <c r="E640" i="1"/>
  <c r="D640" i="1"/>
  <c r="B640" i="1"/>
  <c r="F639" i="1"/>
  <c r="E639" i="1"/>
  <c r="D639" i="1"/>
  <c r="G639" i="1" s="1"/>
  <c r="B639" i="1"/>
  <c r="F638" i="1"/>
  <c r="E638" i="1"/>
  <c r="D638" i="1"/>
  <c r="B638" i="1"/>
  <c r="F637" i="1"/>
  <c r="E637" i="1"/>
  <c r="D637" i="1"/>
  <c r="B637" i="1"/>
  <c r="F636" i="1"/>
  <c r="E636" i="1"/>
  <c r="H636" i="1" s="1"/>
  <c r="D636" i="1"/>
  <c r="B636" i="1"/>
  <c r="F635" i="1"/>
  <c r="E635" i="1"/>
  <c r="D635" i="1"/>
  <c r="B635" i="1"/>
  <c r="F634" i="1"/>
  <c r="E634" i="1"/>
  <c r="D634" i="1"/>
  <c r="B634" i="1"/>
  <c r="F633" i="1"/>
  <c r="E633" i="1"/>
  <c r="D633" i="1"/>
  <c r="B633" i="1"/>
  <c r="F632" i="1"/>
  <c r="E632" i="1"/>
  <c r="H632" i="1" s="1"/>
  <c r="D632" i="1"/>
  <c r="B632" i="1"/>
  <c r="G631" i="1"/>
  <c r="F631" i="1"/>
  <c r="E631" i="1"/>
  <c r="D631" i="1"/>
  <c r="B631" i="1"/>
  <c r="F630" i="1"/>
  <c r="E630" i="1"/>
  <c r="D630" i="1"/>
  <c r="H630" i="1" s="1"/>
  <c r="B630" i="1"/>
  <c r="F629" i="1"/>
  <c r="E629" i="1"/>
  <c r="G629" i="1" s="1"/>
  <c r="D629" i="1"/>
  <c r="B629" i="1"/>
  <c r="F628" i="1"/>
  <c r="E628" i="1"/>
  <c r="D628" i="1"/>
  <c r="B628" i="1"/>
  <c r="G627" i="1"/>
  <c r="F627" i="1"/>
  <c r="E627" i="1"/>
  <c r="D627" i="1"/>
  <c r="B627" i="1"/>
  <c r="F626" i="1"/>
  <c r="E626" i="1"/>
  <c r="D626" i="1"/>
  <c r="B626" i="1"/>
  <c r="G625" i="1"/>
  <c r="F625" i="1"/>
  <c r="E625" i="1"/>
  <c r="D625" i="1"/>
  <c r="H625" i="1" s="1"/>
  <c r="B625" i="1"/>
  <c r="F624" i="1"/>
  <c r="E624" i="1"/>
  <c r="D624" i="1"/>
  <c r="B624" i="1"/>
  <c r="F623" i="1"/>
  <c r="E623" i="1"/>
  <c r="D623" i="1"/>
  <c r="G623" i="1" s="1"/>
  <c r="B623" i="1"/>
  <c r="F622" i="1"/>
  <c r="E622" i="1"/>
  <c r="D622" i="1"/>
  <c r="H622" i="1" s="1"/>
  <c r="B622" i="1"/>
  <c r="F621" i="1"/>
  <c r="E621" i="1"/>
  <c r="D621" i="1"/>
  <c r="B621" i="1"/>
  <c r="F620" i="1"/>
  <c r="E620" i="1"/>
  <c r="D620" i="1"/>
  <c r="B620" i="1"/>
  <c r="F619" i="1"/>
  <c r="E619" i="1"/>
  <c r="G619" i="1" s="1"/>
  <c r="D619" i="1"/>
  <c r="B619" i="1"/>
  <c r="F618" i="1"/>
  <c r="E618" i="1"/>
  <c r="D618" i="1"/>
  <c r="B618" i="1"/>
  <c r="F617" i="1"/>
  <c r="E617" i="1"/>
  <c r="D617" i="1"/>
  <c r="B617" i="1"/>
  <c r="F616" i="1"/>
  <c r="E616" i="1"/>
  <c r="H616" i="1" s="1"/>
  <c r="D616" i="1"/>
  <c r="B616" i="1"/>
  <c r="F615" i="1"/>
  <c r="E615" i="1"/>
  <c r="D615" i="1"/>
  <c r="G615" i="1" s="1"/>
  <c r="B615" i="1"/>
  <c r="F614" i="1"/>
  <c r="E614" i="1"/>
  <c r="D614" i="1"/>
  <c r="H614" i="1" s="1"/>
  <c r="B614" i="1"/>
  <c r="F613" i="1"/>
  <c r="E613" i="1"/>
  <c r="D613" i="1"/>
  <c r="G613" i="1" s="1"/>
  <c r="B613" i="1"/>
  <c r="F612" i="1"/>
  <c r="E612" i="1"/>
  <c r="D612" i="1"/>
  <c r="B612" i="1"/>
  <c r="F611" i="1"/>
  <c r="E611" i="1"/>
  <c r="D611" i="1"/>
  <c r="B611" i="1"/>
  <c r="F610" i="1"/>
  <c r="E610" i="1"/>
  <c r="D610" i="1"/>
  <c r="H610" i="1" s="1"/>
  <c r="B610" i="1"/>
  <c r="F609" i="1"/>
  <c r="E609" i="1"/>
  <c r="G609" i="1" s="1"/>
  <c r="D609" i="1"/>
  <c r="B609" i="1"/>
  <c r="F608" i="1"/>
  <c r="E608" i="1"/>
  <c r="D608" i="1"/>
  <c r="B608" i="1"/>
  <c r="F607" i="1"/>
  <c r="H607" i="1" s="1"/>
  <c r="E607" i="1"/>
  <c r="D607" i="1"/>
  <c r="G607" i="1" s="1"/>
  <c r="B607" i="1"/>
  <c r="F606" i="1"/>
  <c r="E606" i="1"/>
  <c r="D606" i="1"/>
  <c r="B606" i="1"/>
  <c r="G605" i="1"/>
  <c r="F605" i="1"/>
  <c r="E605" i="1"/>
  <c r="D605" i="1"/>
  <c r="H605" i="1" s="1"/>
  <c r="B605" i="1"/>
  <c r="H604" i="1"/>
  <c r="F604" i="1"/>
  <c r="E604" i="1"/>
  <c r="D604" i="1"/>
  <c r="B604" i="1"/>
  <c r="F603" i="1"/>
  <c r="E603" i="1"/>
  <c r="D603" i="1"/>
  <c r="G603" i="1" s="1"/>
  <c r="B603" i="1"/>
  <c r="F602" i="1"/>
  <c r="E602" i="1"/>
  <c r="D602" i="1"/>
  <c r="H602" i="1" s="1"/>
  <c r="B602" i="1"/>
  <c r="F601" i="1"/>
  <c r="E601" i="1"/>
  <c r="D601" i="1"/>
  <c r="B601" i="1"/>
  <c r="F600" i="1"/>
  <c r="H600" i="1" s="1"/>
  <c r="E600" i="1"/>
  <c r="G600" i="1" s="1"/>
  <c r="D600" i="1"/>
  <c r="B600" i="1"/>
  <c r="F599" i="1"/>
  <c r="E599" i="1"/>
  <c r="D599" i="1"/>
  <c r="B599" i="1"/>
  <c r="F598" i="1"/>
  <c r="E598" i="1"/>
  <c r="D598" i="1"/>
  <c r="B598" i="1"/>
  <c r="F597" i="1"/>
  <c r="E597" i="1"/>
  <c r="D597" i="1"/>
  <c r="B597" i="1"/>
  <c r="F596" i="1"/>
  <c r="E596" i="1"/>
  <c r="D596" i="1"/>
  <c r="H596" i="1" s="1"/>
  <c r="B596" i="1"/>
  <c r="F595" i="1"/>
  <c r="E595" i="1"/>
  <c r="D595" i="1"/>
  <c r="G595" i="1" s="1"/>
  <c r="B595" i="1"/>
  <c r="F594" i="1"/>
  <c r="E594" i="1"/>
  <c r="D594" i="1"/>
  <c r="H594" i="1" s="1"/>
  <c r="B594" i="1"/>
  <c r="F593" i="1"/>
  <c r="E593" i="1"/>
  <c r="G593" i="1" s="1"/>
  <c r="D593" i="1"/>
  <c r="B593" i="1"/>
  <c r="F592" i="1"/>
  <c r="E592" i="1"/>
  <c r="D592" i="1"/>
  <c r="B592" i="1"/>
  <c r="F591" i="1"/>
  <c r="H591" i="1" s="1"/>
  <c r="E591" i="1"/>
  <c r="D591" i="1"/>
  <c r="G591" i="1" s="1"/>
  <c r="B591" i="1"/>
  <c r="F590" i="1"/>
  <c r="E590" i="1"/>
  <c r="D590" i="1"/>
  <c r="B590" i="1"/>
  <c r="G589" i="1"/>
  <c r="F589" i="1"/>
  <c r="E589" i="1"/>
  <c r="D589" i="1"/>
  <c r="H589" i="1" s="1"/>
  <c r="B589" i="1"/>
  <c r="F588" i="1"/>
  <c r="E588" i="1"/>
  <c r="D588" i="1"/>
  <c r="H588" i="1" s="1"/>
  <c r="B588" i="1"/>
  <c r="F587" i="1"/>
  <c r="E587" i="1"/>
  <c r="D587" i="1"/>
  <c r="G587" i="1" s="1"/>
  <c r="B587" i="1"/>
  <c r="F586" i="1"/>
  <c r="E586" i="1"/>
  <c r="D586" i="1"/>
  <c r="H586" i="1" s="1"/>
  <c r="B586" i="1"/>
  <c r="F585" i="1"/>
  <c r="E585" i="1"/>
  <c r="D585" i="1"/>
  <c r="H585" i="1" s="1"/>
  <c r="B585" i="1"/>
  <c r="F584" i="1"/>
  <c r="E584" i="1"/>
  <c r="D584" i="1"/>
  <c r="B584" i="1"/>
  <c r="F583" i="1"/>
  <c r="E583" i="1"/>
  <c r="D583" i="1"/>
  <c r="G583" i="1" s="1"/>
  <c r="B583" i="1"/>
  <c r="F582" i="1"/>
  <c r="E582" i="1"/>
  <c r="D582" i="1"/>
  <c r="B582" i="1"/>
  <c r="F581" i="1"/>
  <c r="E581" i="1"/>
  <c r="D581" i="1"/>
  <c r="H581" i="1" s="1"/>
  <c r="B581" i="1"/>
  <c r="H580" i="1"/>
  <c r="F580" i="1"/>
  <c r="E580" i="1"/>
  <c r="G580" i="1" s="1"/>
  <c r="D580" i="1"/>
  <c r="B580" i="1"/>
  <c r="F579" i="1"/>
  <c r="E579" i="1"/>
  <c r="D579" i="1"/>
  <c r="B579" i="1"/>
  <c r="F578" i="1"/>
  <c r="E578" i="1"/>
  <c r="D578" i="1"/>
  <c r="B578" i="1"/>
  <c r="F577" i="1"/>
  <c r="E577" i="1"/>
  <c r="D577" i="1"/>
  <c r="B577" i="1"/>
  <c r="H576" i="1"/>
  <c r="F576" i="1"/>
  <c r="E576" i="1"/>
  <c r="G576" i="1" s="1"/>
  <c r="D576" i="1"/>
  <c r="B576" i="1"/>
  <c r="F575" i="1"/>
  <c r="E575" i="1"/>
  <c r="D575" i="1"/>
  <c r="G575" i="1" s="1"/>
  <c r="B575" i="1"/>
  <c r="F574" i="1"/>
  <c r="E574" i="1"/>
  <c r="D574" i="1"/>
  <c r="H574" i="1" s="1"/>
  <c r="B574" i="1"/>
  <c r="F573" i="1"/>
  <c r="E573" i="1"/>
  <c r="D573" i="1"/>
  <c r="H573" i="1" s="1"/>
  <c r="B573" i="1"/>
  <c r="F572" i="1"/>
  <c r="E572" i="1"/>
  <c r="D572" i="1"/>
  <c r="H572" i="1" s="1"/>
  <c r="B572" i="1"/>
  <c r="F571" i="1"/>
  <c r="E571" i="1"/>
  <c r="D571" i="1"/>
  <c r="G571" i="1" s="1"/>
  <c r="B571" i="1"/>
  <c r="F570" i="1"/>
  <c r="E570" i="1"/>
  <c r="D570" i="1"/>
  <c r="B570" i="1"/>
  <c r="F569" i="1"/>
  <c r="E569" i="1"/>
  <c r="D569" i="1"/>
  <c r="H569" i="1" s="1"/>
  <c r="B569" i="1"/>
  <c r="F568" i="1"/>
  <c r="E568" i="1"/>
  <c r="D568" i="1"/>
  <c r="H568" i="1" s="1"/>
  <c r="B568" i="1"/>
  <c r="F567" i="1"/>
  <c r="E567" i="1"/>
  <c r="D567" i="1"/>
  <c r="B567" i="1"/>
  <c r="F566" i="1"/>
  <c r="E566" i="1"/>
  <c r="D566" i="1"/>
  <c r="B566" i="1"/>
  <c r="F565" i="1"/>
  <c r="E565" i="1"/>
  <c r="D565" i="1"/>
  <c r="B565" i="1"/>
  <c r="F564" i="1"/>
  <c r="E564" i="1"/>
  <c r="D564" i="1"/>
  <c r="B564" i="1"/>
  <c r="F563" i="1"/>
  <c r="H563" i="1" s="1"/>
  <c r="E563" i="1"/>
  <c r="D563" i="1"/>
  <c r="G563" i="1" s="1"/>
  <c r="B563" i="1"/>
  <c r="F562" i="1"/>
  <c r="E562" i="1"/>
  <c r="D562" i="1"/>
  <c r="B562" i="1"/>
  <c r="F561" i="1"/>
  <c r="E561" i="1"/>
  <c r="D561" i="1"/>
  <c r="B561" i="1"/>
  <c r="H560" i="1"/>
  <c r="F560" i="1"/>
  <c r="E560" i="1"/>
  <c r="D560" i="1"/>
  <c r="B560" i="1"/>
  <c r="F559" i="1"/>
  <c r="H559" i="1" s="1"/>
  <c r="E559" i="1"/>
  <c r="D559" i="1"/>
  <c r="G559" i="1" s="1"/>
  <c r="B559" i="1"/>
  <c r="F558" i="1"/>
  <c r="E558" i="1"/>
  <c r="D558" i="1"/>
  <c r="B558" i="1"/>
  <c r="F557" i="1"/>
  <c r="E557" i="1"/>
  <c r="D557" i="1"/>
  <c r="B557" i="1"/>
  <c r="H556" i="1"/>
  <c r="F556" i="1"/>
  <c r="E556" i="1"/>
  <c r="D556" i="1"/>
  <c r="G556" i="1" s="1"/>
  <c r="B556" i="1"/>
  <c r="F555" i="1"/>
  <c r="E555" i="1"/>
  <c r="D555" i="1"/>
  <c r="G555" i="1" s="1"/>
  <c r="B555" i="1"/>
  <c r="F554" i="1"/>
  <c r="E554" i="1"/>
  <c r="D554" i="1"/>
  <c r="B554" i="1"/>
  <c r="F553" i="1"/>
  <c r="E553" i="1"/>
  <c r="D553" i="1"/>
  <c r="B553" i="1"/>
  <c r="F552" i="1"/>
  <c r="E552" i="1"/>
  <c r="D552" i="1"/>
  <c r="B552" i="1"/>
  <c r="F551" i="1"/>
  <c r="E551" i="1"/>
  <c r="D551" i="1"/>
  <c r="B551" i="1"/>
  <c r="F550" i="1"/>
  <c r="E550" i="1"/>
  <c r="D550" i="1"/>
  <c r="B550" i="1"/>
  <c r="F549" i="1"/>
  <c r="E549" i="1"/>
  <c r="D549" i="1"/>
  <c r="B549" i="1"/>
  <c r="F548" i="1"/>
  <c r="H548" i="1" s="1"/>
  <c r="E548" i="1"/>
  <c r="D548" i="1"/>
  <c r="G548" i="1" s="1"/>
  <c r="B548" i="1"/>
  <c r="H547" i="1"/>
  <c r="F547" i="1"/>
  <c r="E547" i="1"/>
  <c r="D547" i="1"/>
  <c r="G547" i="1" s="1"/>
  <c r="B547" i="1"/>
  <c r="F546" i="1"/>
  <c r="E546" i="1"/>
  <c r="D546" i="1"/>
  <c r="B546" i="1"/>
  <c r="F545" i="1"/>
  <c r="E545" i="1"/>
  <c r="D545" i="1"/>
  <c r="G545" i="1" s="1"/>
  <c r="B545" i="1"/>
  <c r="F544" i="1"/>
  <c r="H544" i="1" s="1"/>
  <c r="E544" i="1"/>
  <c r="D544" i="1"/>
  <c r="G544" i="1" s="1"/>
  <c r="B544" i="1"/>
  <c r="F543" i="1"/>
  <c r="E543" i="1"/>
  <c r="D543" i="1"/>
  <c r="G543" i="1" s="1"/>
  <c r="B543" i="1"/>
  <c r="F542" i="1"/>
  <c r="E542" i="1"/>
  <c r="D542" i="1"/>
  <c r="B542" i="1"/>
  <c r="F541" i="1"/>
  <c r="E541" i="1"/>
  <c r="D541" i="1"/>
  <c r="G541" i="1" s="1"/>
  <c r="B541" i="1"/>
  <c r="F540" i="1"/>
  <c r="E540" i="1"/>
  <c r="D540" i="1"/>
  <c r="G540" i="1" s="1"/>
  <c r="B540" i="1"/>
  <c r="F539" i="1"/>
  <c r="E539" i="1"/>
  <c r="D539" i="1"/>
  <c r="G539" i="1" s="1"/>
  <c r="B539" i="1"/>
  <c r="F538" i="1"/>
  <c r="E538" i="1"/>
  <c r="D538" i="1"/>
  <c r="B538" i="1"/>
  <c r="G537" i="1"/>
  <c r="F537" i="1"/>
  <c r="H537" i="1" s="1"/>
  <c r="E537" i="1"/>
  <c r="D537" i="1"/>
  <c r="B537" i="1"/>
  <c r="F536" i="1"/>
  <c r="E536" i="1"/>
  <c r="H536" i="1" s="1"/>
  <c r="D536" i="1"/>
  <c r="B536" i="1"/>
  <c r="H535" i="1"/>
  <c r="F535" i="1"/>
  <c r="E535" i="1"/>
  <c r="D535" i="1"/>
  <c r="G535" i="1" s="1"/>
  <c r="B535" i="1"/>
  <c r="F534" i="1"/>
  <c r="E534" i="1"/>
  <c r="D534" i="1"/>
  <c r="B534" i="1"/>
  <c r="F533" i="1"/>
  <c r="E533" i="1"/>
  <c r="D533" i="1"/>
  <c r="H533" i="1" s="1"/>
  <c r="B533" i="1"/>
  <c r="F532" i="1"/>
  <c r="E532" i="1"/>
  <c r="D532" i="1"/>
  <c r="G532" i="1" s="1"/>
  <c r="B532" i="1"/>
  <c r="F531" i="1"/>
  <c r="E531" i="1"/>
  <c r="D531" i="1"/>
  <c r="G531" i="1" s="1"/>
  <c r="B531" i="1"/>
  <c r="F530" i="1"/>
  <c r="E530" i="1"/>
  <c r="D530" i="1"/>
  <c r="B530" i="1"/>
  <c r="F529" i="1"/>
  <c r="E529" i="1"/>
  <c r="D529" i="1"/>
  <c r="B529" i="1"/>
  <c r="F528" i="1"/>
  <c r="E528" i="1"/>
  <c r="D528" i="1"/>
  <c r="B528" i="1"/>
  <c r="F527" i="1"/>
  <c r="E527" i="1"/>
  <c r="D527" i="1"/>
  <c r="G527" i="1" s="1"/>
  <c r="B527" i="1"/>
  <c r="F526" i="1"/>
  <c r="E526" i="1"/>
  <c r="D526" i="1"/>
  <c r="B526" i="1"/>
  <c r="F525" i="1"/>
  <c r="E525" i="1"/>
  <c r="D525" i="1"/>
  <c r="H525" i="1" s="1"/>
  <c r="B525" i="1"/>
  <c r="F524" i="1"/>
  <c r="E524" i="1"/>
  <c r="D524" i="1"/>
  <c r="B524" i="1"/>
  <c r="F523" i="1"/>
  <c r="E523" i="1"/>
  <c r="D523" i="1"/>
  <c r="G523" i="1" s="1"/>
  <c r="B523" i="1"/>
  <c r="F522" i="1"/>
  <c r="E522" i="1"/>
  <c r="D522" i="1"/>
  <c r="B522" i="1"/>
  <c r="G521" i="1"/>
  <c r="F521" i="1"/>
  <c r="E521" i="1"/>
  <c r="D521" i="1"/>
  <c r="H521" i="1" s="1"/>
  <c r="B521" i="1"/>
  <c r="F520" i="1"/>
  <c r="E520" i="1"/>
  <c r="H520" i="1" s="1"/>
  <c r="D520" i="1"/>
  <c r="G520" i="1" s="1"/>
  <c r="B520" i="1"/>
  <c r="F519" i="1"/>
  <c r="E519" i="1"/>
  <c r="D519" i="1"/>
  <c r="G519" i="1" s="1"/>
  <c r="B519" i="1"/>
  <c r="F518" i="1"/>
  <c r="E518" i="1"/>
  <c r="D518" i="1"/>
  <c r="B518" i="1"/>
  <c r="F517" i="1"/>
  <c r="E517" i="1"/>
  <c r="D517" i="1"/>
  <c r="H517" i="1" s="1"/>
  <c r="B517" i="1"/>
  <c r="F516" i="1"/>
  <c r="E516" i="1"/>
  <c r="H516" i="1" s="1"/>
  <c r="D516" i="1"/>
  <c r="B516" i="1"/>
  <c r="F515" i="1"/>
  <c r="E515" i="1"/>
  <c r="D515" i="1"/>
  <c r="G515" i="1" s="1"/>
  <c r="B515" i="1"/>
  <c r="F514" i="1"/>
  <c r="E514" i="1"/>
  <c r="D514" i="1"/>
  <c r="B514" i="1"/>
  <c r="F513" i="1"/>
  <c r="E513" i="1"/>
  <c r="G513" i="1" s="1"/>
  <c r="D513" i="1"/>
  <c r="B513" i="1"/>
  <c r="F512" i="1"/>
  <c r="E512" i="1"/>
  <c r="D512" i="1"/>
  <c r="G512" i="1" s="1"/>
  <c r="B512" i="1"/>
  <c r="F511" i="1"/>
  <c r="E511" i="1"/>
  <c r="D511" i="1"/>
  <c r="B511" i="1"/>
  <c r="F510" i="1"/>
  <c r="E510" i="1"/>
  <c r="D510" i="1"/>
  <c r="B510" i="1"/>
  <c r="F509" i="1"/>
  <c r="E509" i="1"/>
  <c r="D509" i="1"/>
  <c r="B509" i="1"/>
  <c r="F508" i="1"/>
  <c r="E508" i="1"/>
  <c r="D508" i="1"/>
  <c r="B508" i="1"/>
  <c r="F507" i="1"/>
  <c r="E507" i="1"/>
  <c r="D507" i="1"/>
  <c r="B507" i="1"/>
  <c r="F506" i="1"/>
  <c r="E506" i="1"/>
  <c r="H506" i="1" s="1"/>
  <c r="D506" i="1"/>
  <c r="B506" i="1"/>
  <c r="F505" i="1"/>
  <c r="E505" i="1"/>
  <c r="D505" i="1"/>
  <c r="G505" i="1" s="1"/>
  <c r="B505" i="1"/>
  <c r="F504" i="1"/>
  <c r="E504" i="1"/>
  <c r="D504" i="1"/>
  <c r="B504" i="1"/>
  <c r="F503" i="1"/>
  <c r="E503" i="1"/>
  <c r="D503" i="1"/>
  <c r="B503" i="1"/>
  <c r="F502" i="1"/>
  <c r="H502" i="1" s="1"/>
  <c r="E502" i="1"/>
  <c r="D502" i="1"/>
  <c r="G502" i="1" s="1"/>
  <c r="B502" i="1"/>
  <c r="F501" i="1"/>
  <c r="E501" i="1"/>
  <c r="D501" i="1"/>
  <c r="B501" i="1"/>
  <c r="H500" i="1"/>
  <c r="F500" i="1"/>
  <c r="E500" i="1"/>
  <c r="D500" i="1"/>
  <c r="B500" i="1"/>
  <c r="F499" i="1"/>
  <c r="E499" i="1"/>
  <c r="D499" i="1"/>
  <c r="G499" i="1" s="1"/>
  <c r="B499" i="1"/>
  <c r="F498" i="1"/>
  <c r="E498" i="1"/>
  <c r="D498" i="1"/>
  <c r="B498" i="1"/>
  <c r="F497" i="1"/>
  <c r="E497" i="1"/>
  <c r="G497" i="1" s="1"/>
  <c r="D497" i="1"/>
  <c r="B497" i="1"/>
  <c r="F496" i="1"/>
  <c r="E496" i="1"/>
  <c r="H496" i="1" s="1"/>
  <c r="D496" i="1"/>
  <c r="B496" i="1"/>
  <c r="F495" i="1"/>
  <c r="E495" i="1"/>
  <c r="D495" i="1"/>
  <c r="B495" i="1"/>
  <c r="F494" i="1"/>
  <c r="E494" i="1"/>
  <c r="D494" i="1"/>
  <c r="B494" i="1"/>
  <c r="G493" i="1"/>
  <c r="F493" i="1"/>
  <c r="E493" i="1"/>
  <c r="D493" i="1"/>
  <c r="H493" i="1" s="1"/>
  <c r="B493" i="1"/>
  <c r="F492" i="1"/>
  <c r="E492" i="1"/>
  <c r="D492" i="1"/>
  <c r="B492" i="1"/>
  <c r="F491" i="1"/>
  <c r="E491" i="1"/>
  <c r="D491" i="1"/>
  <c r="G491" i="1" s="1"/>
  <c r="B491" i="1"/>
  <c r="F490" i="1"/>
  <c r="H490" i="1" s="1"/>
  <c r="E490" i="1"/>
  <c r="D490" i="1"/>
  <c r="G490" i="1" s="1"/>
  <c r="B490" i="1"/>
  <c r="F489" i="1"/>
  <c r="E489" i="1"/>
  <c r="D489" i="1"/>
  <c r="B489" i="1"/>
  <c r="F488" i="1"/>
  <c r="E488" i="1"/>
  <c r="D488" i="1"/>
  <c r="G488" i="1" s="1"/>
  <c r="B488" i="1"/>
  <c r="F487" i="1"/>
  <c r="H487" i="1" s="1"/>
  <c r="E487" i="1"/>
  <c r="D487" i="1"/>
  <c r="G487" i="1" s="1"/>
  <c r="B487" i="1"/>
  <c r="F486" i="1"/>
  <c r="E486" i="1"/>
  <c r="D486" i="1"/>
  <c r="G486" i="1" s="1"/>
  <c r="B486" i="1"/>
  <c r="F485" i="1"/>
  <c r="E485" i="1"/>
  <c r="D485" i="1"/>
  <c r="H485" i="1" s="1"/>
  <c r="B485" i="1"/>
  <c r="F484" i="1"/>
  <c r="H484" i="1" s="1"/>
  <c r="E484" i="1"/>
  <c r="D484" i="1"/>
  <c r="B484" i="1"/>
  <c r="F483" i="1"/>
  <c r="E483" i="1"/>
  <c r="D483" i="1"/>
  <c r="G483" i="1" s="1"/>
  <c r="B483" i="1"/>
  <c r="F482" i="1"/>
  <c r="E482" i="1"/>
  <c r="D482" i="1"/>
  <c r="G482" i="1" s="1"/>
  <c r="B482" i="1"/>
  <c r="F481" i="1"/>
  <c r="E481" i="1"/>
  <c r="D481" i="1"/>
  <c r="B481" i="1"/>
  <c r="F480" i="1"/>
  <c r="E480" i="1"/>
  <c r="D480" i="1"/>
  <c r="B480" i="1"/>
  <c r="F479" i="1"/>
  <c r="E479" i="1"/>
  <c r="D479" i="1"/>
  <c r="G479" i="1" s="1"/>
  <c r="B479" i="1"/>
  <c r="F478" i="1"/>
  <c r="E478" i="1"/>
  <c r="D478" i="1"/>
  <c r="B478" i="1"/>
  <c r="F477" i="1"/>
  <c r="E477" i="1"/>
  <c r="D477" i="1"/>
  <c r="H477" i="1" s="1"/>
  <c r="B477" i="1"/>
  <c r="F476" i="1"/>
  <c r="E476" i="1"/>
  <c r="D476" i="1"/>
  <c r="B476" i="1"/>
  <c r="F475" i="1"/>
  <c r="E475" i="1"/>
  <c r="G475" i="1" s="1"/>
  <c r="D475" i="1"/>
  <c r="B475" i="1"/>
  <c r="F474" i="1"/>
  <c r="E474" i="1"/>
  <c r="D474" i="1"/>
  <c r="G474" i="1" s="1"/>
  <c r="B474" i="1"/>
  <c r="F473" i="1"/>
  <c r="E473" i="1"/>
  <c r="D473" i="1"/>
  <c r="B473" i="1"/>
  <c r="G472" i="1"/>
  <c r="F472" i="1"/>
  <c r="E472" i="1"/>
  <c r="D472" i="1"/>
  <c r="H472" i="1" s="1"/>
  <c r="B472" i="1"/>
  <c r="F471" i="1"/>
  <c r="E471" i="1"/>
  <c r="D471" i="1"/>
  <c r="G471" i="1" s="1"/>
  <c r="B471" i="1"/>
  <c r="F470" i="1"/>
  <c r="E470" i="1"/>
  <c r="D470" i="1"/>
  <c r="H470" i="1" s="1"/>
  <c r="B470" i="1"/>
  <c r="G469" i="1"/>
  <c r="F469" i="1"/>
  <c r="H469" i="1" s="1"/>
  <c r="E469" i="1"/>
  <c r="D469" i="1"/>
  <c r="B469" i="1"/>
  <c r="G468" i="1"/>
  <c r="F468" i="1"/>
  <c r="E468" i="1"/>
  <c r="D468" i="1"/>
  <c r="B468" i="1"/>
  <c r="F467" i="1"/>
  <c r="E467" i="1"/>
  <c r="D467" i="1"/>
  <c r="B467" i="1"/>
  <c r="F466" i="1"/>
  <c r="E466" i="1"/>
  <c r="D466" i="1"/>
  <c r="G466" i="1" s="1"/>
  <c r="B466" i="1"/>
  <c r="F465" i="1"/>
  <c r="E465" i="1"/>
  <c r="D465" i="1"/>
  <c r="B465" i="1"/>
  <c r="F464" i="1"/>
  <c r="E464" i="1"/>
  <c r="H464" i="1" s="1"/>
  <c r="D464" i="1"/>
  <c r="B464" i="1"/>
  <c r="F463" i="1"/>
  <c r="E463" i="1"/>
  <c r="D463" i="1"/>
  <c r="B463" i="1"/>
  <c r="F462" i="1"/>
  <c r="E462" i="1"/>
  <c r="H462" i="1" s="1"/>
  <c r="D462" i="1"/>
  <c r="B462" i="1"/>
  <c r="F461" i="1"/>
  <c r="E461" i="1"/>
  <c r="D461" i="1"/>
  <c r="B461" i="1"/>
  <c r="F460" i="1"/>
  <c r="E460" i="1"/>
  <c r="D460" i="1"/>
  <c r="B460" i="1"/>
  <c r="F459" i="1"/>
  <c r="E459" i="1"/>
  <c r="D459" i="1"/>
  <c r="G459" i="1" s="1"/>
  <c r="B459" i="1"/>
  <c r="F458" i="1"/>
  <c r="E458" i="1"/>
  <c r="D458" i="1"/>
  <c r="B458" i="1"/>
  <c r="F457" i="1"/>
  <c r="E457" i="1"/>
  <c r="D457" i="1"/>
  <c r="G457" i="1" s="1"/>
  <c r="B457" i="1"/>
  <c r="F456" i="1"/>
  <c r="E456" i="1"/>
  <c r="D456" i="1"/>
  <c r="B456" i="1"/>
  <c r="F455" i="1"/>
  <c r="E455" i="1"/>
  <c r="D455" i="1"/>
  <c r="B455" i="1"/>
  <c r="F454" i="1"/>
  <c r="E454" i="1"/>
  <c r="D454" i="1"/>
  <c r="G454" i="1" s="1"/>
  <c r="B454" i="1"/>
  <c r="F453" i="1"/>
  <c r="E453" i="1"/>
  <c r="D453" i="1"/>
  <c r="B453" i="1"/>
  <c r="F452" i="1"/>
  <c r="E452" i="1"/>
  <c r="D452" i="1"/>
  <c r="G452" i="1" s="1"/>
  <c r="B452" i="1"/>
  <c r="H451" i="1"/>
  <c r="F451" i="1"/>
  <c r="E451" i="1"/>
  <c r="G451" i="1" s="1"/>
  <c r="D451" i="1"/>
  <c r="B451" i="1"/>
  <c r="F450" i="1"/>
  <c r="E450" i="1"/>
  <c r="D450" i="1"/>
  <c r="H450" i="1" s="1"/>
  <c r="B450" i="1"/>
  <c r="F449" i="1"/>
  <c r="E449" i="1"/>
  <c r="D449" i="1"/>
  <c r="B449" i="1"/>
  <c r="F448" i="1"/>
  <c r="E448" i="1"/>
  <c r="D448" i="1"/>
  <c r="H448" i="1" s="1"/>
  <c r="B448" i="1"/>
  <c r="F447" i="1"/>
  <c r="E447" i="1"/>
  <c r="D447" i="1"/>
  <c r="B447" i="1"/>
  <c r="F446" i="1"/>
  <c r="E446" i="1"/>
  <c r="D446" i="1"/>
  <c r="B446" i="1"/>
  <c r="F445" i="1"/>
  <c r="E445" i="1"/>
  <c r="D445" i="1"/>
  <c r="H445" i="1" s="1"/>
  <c r="B445" i="1"/>
  <c r="F444" i="1"/>
  <c r="E444" i="1"/>
  <c r="D444" i="1"/>
  <c r="B444" i="1"/>
  <c r="F443" i="1"/>
  <c r="E443" i="1"/>
  <c r="G443" i="1" s="1"/>
  <c r="D443" i="1"/>
  <c r="B443" i="1"/>
  <c r="F442" i="1"/>
  <c r="E442" i="1"/>
  <c r="D442" i="1"/>
  <c r="G442" i="1" s="1"/>
  <c r="B442" i="1"/>
  <c r="F441" i="1"/>
  <c r="E441" i="1"/>
  <c r="D441" i="1"/>
  <c r="B441" i="1"/>
  <c r="F440" i="1"/>
  <c r="E440" i="1"/>
  <c r="D440" i="1"/>
  <c r="B440" i="1"/>
  <c r="F439" i="1"/>
  <c r="E439" i="1"/>
  <c r="D439" i="1"/>
  <c r="B439" i="1"/>
  <c r="F438" i="1"/>
  <c r="E438" i="1"/>
  <c r="D438" i="1"/>
  <c r="H438" i="1" s="1"/>
  <c r="B438" i="1"/>
  <c r="F437" i="1"/>
  <c r="E437" i="1"/>
  <c r="D437" i="1"/>
  <c r="B437" i="1"/>
  <c r="G436" i="1"/>
  <c r="F436" i="1"/>
  <c r="E436" i="1"/>
  <c r="D436" i="1"/>
  <c r="B436" i="1"/>
  <c r="F435" i="1"/>
  <c r="E435" i="1"/>
  <c r="D435" i="1"/>
  <c r="B435" i="1"/>
  <c r="G434" i="1"/>
  <c r="F434" i="1"/>
  <c r="E434" i="1"/>
  <c r="H434" i="1" s="1"/>
  <c r="D434" i="1"/>
  <c r="B434" i="1"/>
  <c r="F433" i="1"/>
  <c r="E433" i="1"/>
  <c r="D433" i="1"/>
  <c r="G433" i="1" s="1"/>
  <c r="B433" i="1"/>
  <c r="F432" i="1"/>
  <c r="E432" i="1"/>
  <c r="D432" i="1"/>
  <c r="G432" i="1" s="1"/>
  <c r="B432" i="1"/>
  <c r="F431" i="1"/>
  <c r="E431" i="1"/>
  <c r="D431" i="1"/>
  <c r="B431" i="1"/>
  <c r="F430" i="1"/>
  <c r="E430" i="1"/>
  <c r="H430" i="1" s="1"/>
  <c r="D430" i="1"/>
  <c r="G430" i="1" s="1"/>
  <c r="B430" i="1"/>
  <c r="H429" i="1"/>
  <c r="F429" i="1"/>
  <c r="E429" i="1"/>
  <c r="D429" i="1"/>
  <c r="B429" i="1"/>
  <c r="G428" i="1"/>
  <c r="F428" i="1"/>
  <c r="E428" i="1"/>
  <c r="D428" i="1"/>
  <c r="B428" i="1"/>
  <c r="F427" i="1"/>
  <c r="E427" i="1"/>
  <c r="D427" i="1"/>
  <c r="B427" i="1"/>
  <c r="G426" i="1"/>
  <c r="F426" i="1"/>
  <c r="H426" i="1" s="1"/>
  <c r="E426" i="1"/>
  <c r="D426" i="1"/>
  <c r="B426" i="1"/>
  <c r="F425" i="1"/>
  <c r="E425" i="1"/>
  <c r="D425" i="1"/>
  <c r="G425" i="1" s="1"/>
  <c r="B425" i="1"/>
  <c r="F424" i="1"/>
  <c r="E424" i="1"/>
  <c r="D424" i="1"/>
  <c r="B424" i="1"/>
  <c r="F423" i="1"/>
  <c r="E423" i="1"/>
  <c r="D423" i="1"/>
  <c r="B423" i="1"/>
  <c r="F422" i="1"/>
  <c r="E422" i="1"/>
  <c r="D422" i="1"/>
  <c r="H422" i="1" s="1"/>
  <c r="B422" i="1"/>
  <c r="H421" i="1"/>
  <c r="F421" i="1"/>
  <c r="E421" i="1"/>
  <c r="D421" i="1"/>
  <c r="B421" i="1"/>
  <c r="F420" i="1"/>
  <c r="E420" i="1"/>
  <c r="D420" i="1"/>
  <c r="B420" i="1"/>
  <c r="F419" i="1"/>
  <c r="E419" i="1"/>
  <c r="D419" i="1"/>
  <c r="B419" i="1"/>
  <c r="F418" i="1"/>
  <c r="H418" i="1" s="1"/>
  <c r="E418" i="1"/>
  <c r="G418" i="1" s="1"/>
  <c r="D418" i="1"/>
  <c r="B418" i="1"/>
  <c r="F417" i="1"/>
  <c r="E417" i="1"/>
  <c r="D417" i="1"/>
  <c r="B417" i="1"/>
  <c r="F416" i="1"/>
  <c r="E416" i="1"/>
  <c r="D416" i="1"/>
  <c r="B416" i="1"/>
  <c r="F415" i="1"/>
  <c r="E415" i="1"/>
  <c r="D415" i="1"/>
  <c r="B415" i="1"/>
  <c r="H414" i="1"/>
  <c r="F414" i="1"/>
  <c r="E414" i="1"/>
  <c r="D414" i="1"/>
  <c r="G414" i="1" s="1"/>
  <c r="B414" i="1"/>
  <c r="F413" i="1"/>
  <c r="E413" i="1"/>
  <c r="H413" i="1" s="1"/>
  <c r="D413" i="1"/>
  <c r="B413" i="1"/>
  <c r="F412" i="1"/>
  <c r="E412" i="1"/>
  <c r="D412" i="1"/>
  <c r="B412" i="1"/>
  <c r="F411" i="1"/>
  <c r="E411" i="1"/>
  <c r="D411" i="1"/>
  <c r="B411" i="1"/>
  <c r="F410" i="1"/>
  <c r="E410" i="1"/>
  <c r="D410" i="1"/>
  <c r="H410" i="1" s="1"/>
  <c r="B410" i="1"/>
  <c r="F409" i="1"/>
  <c r="E409" i="1"/>
  <c r="D409" i="1"/>
  <c r="B409" i="1"/>
  <c r="F408" i="1"/>
  <c r="E408" i="1"/>
  <c r="D408" i="1"/>
  <c r="B408" i="1"/>
  <c r="F407" i="1"/>
  <c r="E407" i="1"/>
  <c r="D407" i="1"/>
  <c r="B407" i="1"/>
  <c r="G406" i="1"/>
  <c r="F406" i="1"/>
  <c r="H406" i="1" s="1"/>
  <c r="E406" i="1"/>
  <c r="D406" i="1"/>
  <c r="B406" i="1"/>
  <c r="F405" i="1"/>
  <c r="E405" i="1"/>
  <c r="D405" i="1"/>
  <c r="G405" i="1" s="1"/>
  <c r="B405" i="1"/>
  <c r="F404" i="1"/>
  <c r="E404" i="1"/>
  <c r="D404" i="1"/>
  <c r="B404" i="1"/>
  <c r="F403" i="1"/>
  <c r="E403" i="1"/>
  <c r="D403" i="1"/>
  <c r="B403" i="1"/>
  <c r="F402" i="1"/>
  <c r="E402" i="1"/>
  <c r="D402" i="1"/>
  <c r="B402" i="1"/>
  <c r="H401" i="1"/>
  <c r="F401" i="1"/>
  <c r="E401" i="1"/>
  <c r="D401" i="1"/>
  <c r="G401" i="1" s="1"/>
  <c r="B401" i="1"/>
  <c r="F400" i="1"/>
  <c r="E400" i="1"/>
  <c r="D400" i="1"/>
  <c r="B400" i="1"/>
  <c r="F399" i="1"/>
  <c r="E399" i="1"/>
  <c r="D399" i="1"/>
  <c r="B399" i="1"/>
  <c r="F398" i="1"/>
  <c r="E398" i="1"/>
  <c r="D398" i="1"/>
  <c r="H398" i="1" s="1"/>
  <c r="B398" i="1"/>
  <c r="F397" i="1"/>
  <c r="E397" i="1"/>
  <c r="D397" i="1"/>
  <c r="B397" i="1"/>
  <c r="F396" i="1"/>
  <c r="E396" i="1"/>
  <c r="D396" i="1"/>
  <c r="B396" i="1"/>
  <c r="F395" i="1"/>
  <c r="E395" i="1"/>
  <c r="D395" i="1"/>
  <c r="B395" i="1"/>
  <c r="H394" i="1"/>
  <c r="G394" i="1"/>
  <c r="F394" i="1"/>
  <c r="E394" i="1"/>
  <c r="D394" i="1"/>
  <c r="B394" i="1"/>
  <c r="F393" i="1"/>
  <c r="E393" i="1"/>
  <c r="D393" i="1"/>
  <c r="G393" i="1" s="1"/>
  <c r="B393" i="1"/>
  <c r="F392" i="1"/>
  <c r="E392" i="1"/>
  <c r="D392" i="1"/>
  <c r="H392" i="1" s="1"/>
  <c r="B392" i="1"/>
  <c r="F391" i="1"/>
  <c r="E391" i="1"/>
  <c r="D391" i="1"/>
  <c r="B391" i="1"/>
  <c r="F390" i="1"/>
  <c r="E390" i="1"/>
  <c r="D390" i="1"/>
  <c r="H390" i="1" s="1"/>
  <c r="B390" i="1"/>
  <c r="H389" i="1"/>
  <c r="F389" i="1"/>
  <c r="E389" i="1"/>
  <c r="D389" i="1"/>
  <c r="B389" i="1"/>
  <c r="F388" i="1"/>
  <c r="E388" i="1"/>
  <c r="D388" i="1"/>
  <c r="B388" i="1"/>
  <c r="F387" i="1"/>
  <c r="E387" i="1"/>
  <c r="D387" i="1"/>
  <c r="B387" i="1"/>
  <c r="H386" i="1"/>
  <c r="G386" i="1"/>
  <c r="F386" i="1"/>
  <c r="E386" i="1"/>
  <c r="D386" i="1"/>
  <c r="B386" i="1"/>
  <c r="F385" i="1"/>
  <c r="E385" i="1"/>
  <c r="D385" i="1"/>
  <c r="B385" i="1"/>
  <c r="F384" i="1"/>
  <c r="E384" i="1"/>
  <c r="D384" i="1"/>
  <c r="B384" i="1"/>
  <c r="F383" i="1"/>
  <c r="E383" i="1"/>
  <c r="D383" i="1"/>
  <c r="B383" i="1"/>
  <c r="F382" i="1"/>
  <c r="E382" i="1"/>
  <c r="D382" i="1"/>
  <c r="G382" i="1" s="1"/>
  <c r="B382" i="1"/>
  <c r="F381" i="1"/>
  <c r="E381" i="1"/>
  <c r="H381" i="1" s="1"/>
  <c r="D381" i="1"/>
  <c r="B381" i="1"/>
  <c r="F380" i="1"/>
  <c r="E380" i="1"/>
  <c r="D380" i="1"/>
  <c r="B380" i="1"/>
  <c r="F379" i="1"/>
  <c r="E379" i="1"/>
  <c r="D379" i="1"/>
  <c r="B379" i="1"/>
  <c r="F378" i="1"/>
  <c r="E378" i="1"/>
  <c r="D378" i="1"/>
  <c r="G378" i="1" s="1"/>
  <c r="B378" i="1"/>
  <c r="F377" i="1"/>
  <c r="E377" i="1"/>
  <c r="D377" i="1"/>
  <c r="B377" i="1"/>
  <c r="F376" i="1"/>
  <c r="E376" i="1"/>
  <c r="D376" i="1"/>
  <c r="B376" i="1"/>
  <c r="F375" i="1"/>
  <c r="E375" i="1"/>
  <c r="D375" i="1"/>
  <c r="B375" i="1"/>
  <c r="H374" i="1"/>
  <c r="G374" i="1"/>
  <c r="F374" i="1"/>
  <c r="E374" i="1"/>
  <c r="D374" i="1"/>
  <c r="B374" i="1"/>
  <c r="F373" i="1"/>
  <c r="E373" i="1"/>
  <c r="D373" i="1"/>
  <c r="H373" i="1" s="1"/>
  <c r="B373" i="1"/>
  <c r="F372" i="1"/>
  <c r="E372" i="1"/>
  <c r="D372" i="1"/>
  <c r="B372" i="1"/>
  <c r="F371" i="1"/>
  <c r="E371" i="1"/>
  <c r="D371" i="1"/>
  <c r="B371" i="1"/>
  <c r="G370" i="1"/>
  <c r="F370" i="1"/>
  <c r="E370" i="1"/>
  <c r="D370" i="1"/>
  <c r="H370" i="1" s="1"/>
  <c r="B370" i="1"/>
  <c r="H369" i="1"/>
  <c r="F369" i="1"/>
  <c r="E369" i="1"/>
  <c r="D369" i="1"/>
  <c r="G369" i="1" s="1"/>
  <c r="B369" i="1"/>
  <c r="F368" i="1"/>
  <c r="E368" i="1"/>
  <c r="D368" i="1"/>
  <c r="B368" i="1"/>
  <c r="F367" i="1"/>
  <c r="E367" i="1"/>
  <c r="D367" i="1"/>
  <c r="B367" i="1"/>
  <c r="F366" i="1"/>
  <c r="E366" i="1"/>
  <c r="D366" i="1"/>
  <c r="H366" i="1" s="1"/>
  <c r="B366" i="1"/>
  <c r="F365" i="1"/>
  <c r="H365" i="1" s="1"/>
  <c r="E365" i="1"/>
  <c r="D365" i="1"/>
  <c r="G365" i="1" s="1"/>
  <c r="B365" i="1"/>
  <c r="F364" i="1"/>
  <c r="E364" i="1"/>
  <c r="D364" i="1"/>
  <c r="B364" i="1"/>
  <c r="F363" i="1"/>
  <c r="E363" i="1"/>
  <c r="D363" i="1"/>
  <c r="B363" i="1"/>
  <c r="H362" i="1"/>
  <c r="F362" i="1"/>
  <c r="E362" i="1"/>
  <c r="D362" i="1"/>
  <c r="G362" i="1" s="1"/>
  <c r="B362" i="1"/>
  <c r="F361" i="1"/>
  <c r="E361" i="1"/>
  <c r="D361" i="1"/>
  <c r="H361" i="1" s="1"/>
  <c r="B361" i="1"/>
  <c r="F360" i="1"/>
  <c r="E360" i="1"/>
  <c r="D360" i="1"/>
  <c r="B360" i="1"/>
  <c r="F359" i="1"/>
  <c r="E359" i="1"/>
  <c r="D359" i="1"/>
  <c r="B359" i="1"/>
  <c r="H358" i="1"/>
  <c r="G358" i="1"/>
  <c r="F358" i="1"/>
  <c r="E358" i="1"/>
  <c r="D358" i="1"/>
  <c r="B358" i="1"/>
  <c r="F357" i="1"/>
  <c r="E357" i="1"/>
  <c r="D357" i="1"/>
  <c r="G357" i="1" s="1"/>
  <c r="B357" i="1"/>
  <c r="F356" i="1"/>
  <c r="E356" i="1"/>
  <c r="D356" i="1"/>
  <c r="H356" i="1" s="1"/>
  <c r="B356" i="1"/>
  <c r="F355" i="1"/>
  <c r="E355" i="1"/>
  <c r="D355" i="1"/>
  <c r="B355" i="1"/>
  <c r="F354" i="1"/>
  <c r="E354" i="1"/>
  <c r="D354" i="1"/>
  <c r="H354" i="1" s="1"/>
  <c r="B354" i="1"/>
  <c r="F353" i="1"/>
  <c r="H353" i="1" s="1"/>
  <c r="E353" i="1"/>
  <c r="D353" i="1"/>
  <c r="G353" i="1" s="1"/>
  <c r="B353" i="1"/>
  <c r="F352" i="1"/>
  <c r="E352" i="1"/>
  <c r="D352" i="1"/>
  <c r="B352" i="1"/>
  <c r="F351" i="1"/>
  <c r="E351" i="1"/>
  <c r="D351" i="1"/>
  <c r="B351" i="1"/>
  <c r="H350" i="1"/>
  <c r="F350" i="1"/>
  <c r="E350" i="1"/>
  <c r="D350" i="1"/>
  <c r="G350" i="1" s="1"/>
  <c r="B350" i="1"/>
  <c r="F349" i="1"/>
  <c r="E349" i="1"/>
  <c r="D349" i="1"/>
  <c r="G349" i="1" s="1"/>
  <c r="B349" i="1"/>
  <c r="F348" i="1"/>
  <c r="E348" i="1"/>
  <c r="D348" i="1"/>
  <c r="H348" i="1" s="1"/>
  <c r="B348" i="1"/>
  <c r="F347" i="1"/>
  <c r="E347" i="1"/>
  <c r="D347" i="1"/>
  <c r="B347" i="1"/>
  <c r="F346" i="1"/>
  <c r="E346" i="1"/>
  <c r="D346" i="1"/>
  <c r="B346" i="1"/>
  <c r="F345" i="1"/>
  <c r="E345" i="1"/>
  <c r="H345" i="1" s="1"/>
  <c r="D345" i="1"/>
  <c r="B345" i="1"/>
  <c r="F344" i="1"/>
  <c r="E344" i="1"/>
  <c r="D344" i="1"/>
  <c r="B344" i="1"/>
  <c r="F343" i="1"/>
  <c r="E343" i="1"/>
  <c r="D343" i="1"/>
  <c r="B343" i="1"/>
  <c r="F342" i="1"/>
  <c r="H342" i="1" s="1"/>
  <c r="E342" i="1"/>
  <c r="D342" i="1"/>
  <c r="G342" i="1" s="1"/>
  <c r="B342" i="1"/>
  <c r="H341" i="1"/>
  <c r="F341" i="1"/>
  <c r="E341" i="1"/>
  <c r="D341" i="1"/>
  <c r="G341" i="1" s="1"/>
  <c r="B341" i="1"/>
  <c r="F340" i="1"/>
  <c r="E340" i="1"/>
  <c r="D340" i="1"/>
  <c r="H340" i="1" s="1"/>
  <c r="B340" i="1"/>
  <c r="F339" i="1"/>
  <c r="E339" i="1"/>
  <c r="D339" i="1"/>
  <c r="B339" i="1"/>
  <c r="F338" i="1"/>
  <c r="E338" i="1"/>
  <c r="D338" i="1"/>
  <c r="G338" i="1" s="1"/>
  <c r="B338" i="1"/>
  <c r="F337" i="1"/>
  <c r="E337" i="1"/>
  <c r="H337" i="1" s="1"/>
  <c r="D337" i="1"/>
  <c r="B337" i="1"/>
  <c r="F336" i="1"/>
  <c r="E336" i="1"/>
  <c r="D336" i="1"/>
  <c r="B336" i="1"/>
  <c r="F335" i="1"/>
  <c r="E335" i="1"/>
  <c r="D335" i="1"/>
  <c r="B335" i="1"/>
  <c r="F334" i="1"/>
  <c r="E334" i="1"/>
  <c r="D334" i="1"/>
  <c r="G334" i="1" s="1"/>
  <c r="B334" i="1"/>
  <c r="H333" i="1"/>
  <c r="F333" i="1"/>
  <c r="E333" i="1"/>
  <c r="D333" i="1"/>
  <c r="G333" i="1" s="1"/>
  <c r="B333" i="1"/>
  <c r="F332" i="1"/>
  <c r="E332" i="1"/>
  <c r="D332" i="1"/>
  <c r="H332" i="1" s="1"/>
  <c r="B332" i="1"/>
  <c r="F331" i="1"/>
  <c r="E331" i="1"/>
  <c r="D331" i="1"/>
  <c r="B331" i="1"/>
  <c r="F330" i="1"/>
  <c r="E330" i="1"/>
  <c r="D330" i="1"/>
  <c r="B330" i="1"/>
  <c r="F329" i="1"/>
  <c r="E329" i="1"/>
  <c r="H329" i="1" s="1"/>
  <c r="D329" i="1"/>
  <c r="B329" i="1"/>
  <c r="F328" i="1"/>
  <c r="E328" i="1"/>
  <c r="D328" i="1"/>
  <c r="B328" i="1"/>
  <c r="F327" i="1"/>
  <c r="E327" i="1"/>
  <c r="D327" i="1"/>
  <c r="B327" i="1"/>
  <c r="F326" i="1"/>
  <c r="E326" i="1"/>
  <c r="H326" i="1" s="1"/>
  <c r="D326" i="1"/>
  <c r="B326" i="1"/>
  <c r="F325" i="1"/>
  <c r="E325" i="1"/>
  <c r="D325" i="1"/>
  <c r="G325" i="1" s="1"/>
  <c r="B325" i="1"/>
  <c r="F324" i="1"/>
  <c r="E324" i="1"/>
  <c r="D324" i="1"/>
  <c r="B324" i="1"/>
  <c r="F323" i="1"/>
  <c r="E323" i="1"/>
  <c r="D323" i="1"/>
  <c r="B323" i="1"/>
  <c r="H322" i="1"/>
  <c r="F322" i="1"/>
  <c r="E322" i="1"/>
  <c r="D322" i="1"/>
  <c r="G322" i="1" s="1"/>
  <c r="B322" i="1"/>
  <c r="F321" i="1"/>
  <c r="E321" i="1"/>
  <c r="D321" i="1"/>
  <c r="G321" i="1" s="1"/>
  <c r="B321" i="1"/>
  <c r="F320" i="1"/>
  <c r="E320" i="1"/>
  <c r="D320" i="1"/>
  <c r="B320" i="1"/>
  <c r="F319" i="1"/>
  <c r="E319" i="1"/>
  <c r="D319" i="1"/>
  <c r="B319" i="1"/>
  <c r="F318" i="1"/>
  <c r="E318" i="1"/>
  <c r="H318" i="1" s="1"/>
  <c r="D318" i="1"/>
  <c r="B318" i="1"/>
  <c r="F317" i="1"/>
  <c r="E317" i="1"/>
  <c r="D317" i="1"/>
  <c r="G317" i="1" s="1"/>
  <c r="B317" i="1"/>
  <c r="F316" i="1"/>
  <c r="E316" i="1"/>
  <c r="D316" i="1"/>
  <c r="B316" i="1"/>
  <c r="F315" i="1"/>
  <c r="E315" i="1"/>
  <c r="D315" i="1"/>
  <c r="B315" i="1"/>
  <c r="F314" i="1"/>
  <c r="E314" i="1"/>
  <c r="D314" i="1"/>
  <c r="G314" i="1" s="1"/>
  <c r="B314" i="1"/>
  <c r="F313" i="1"/>
  <c r="E313" i="1"/>
  <c r="D313" i="1"/>
  <c r="B313" i="1"/>
  <c r="F312" i="1"/>
  <c r="E312" i="1"/>
  <c r="D312" i="1"/>
  <c r="B312" i="1"/>
  <c r="F311" i="1"/>
  <c r="H311" i="1" s="1"/>
  <c r="E311" i="1"/>
  <c r="D311" i="1"/>
  <c r="G311" i="1" s="1"/>
  <c r="B311" i="1"/>
  <c r="F310" i="1"/>
  <c r="E310" i="1"/>
  <c r="D310" i="1"/>
  <c r="G310" i="1" s="1"/>
  <c r="B310" i="1"/>
  <c r="H309" i="1"/>
  <c r="F309" i="1"/>
  <c r="E309" i="1"/>
  <c r="D309" i="1"/>
  <c r="G309" i="1" s="1"/>
  <c r="B309" i="1"/>
  <c r="F308" i="1"/>
  <c r="E308" i="1"/>
  <c r="D308" i="1"/>
  <c r="B308" i="1"/>
  <c r="F307" i="1"/>
  <c r="E307" i="1"/>
  <c r="D307" i="1"/>
  <c r="G307" i="1" s="1"/>
  <c r="B307" i="1"/>
  <c r="F306" i="1"/>
  <c r="E306" i="1"/>
  <c r="D306" i="1"/>
  <c r="G306" i="1" s="1"/>
  <c r="B306" i="1"/>
  <c r="F305" i="1"/>
  <c r="E305" i="1"/>
  <c r="D305" i="1"/>
  <c r="B305" i="1"/>
  <c r="F304" i="1"/>
  <c r="E304" i="1"/>
  <c r="D304" i="1"/>
  <c r="B304" i="1"/>
  <c r="F303" i="1"/>
  <c r="E303" i="1"/>
  <c r="D303" i="1"/>
  <c r="G303" i="1" s="1"/>
  <c r="B303" i="1"/>
  <c r="F302" i="1"/>
  <c r="E302" i="1"/>
  <c r="D302" i="1"/>
  <c r="B302" i="1"/>
  <c r="F301" i="1"/>
  <c r="E301" i="1"/>
  <c r="D301" i="1"/>
  <c r="G301" i="1" s="1"/>
  <c r="B301" i="1"/>
  <c r="F300" i="1"/>
  <c r="E300" i="1"/>
  <c r="D300" i="1"/>
  <c r="B300" i="1"/>
  <c r="F299" i="1"/>
  <c r="E299" i="1"/>
  <c r="D299" i="1"/>
  <c r="G299" i="1" s="1"/>
  <c r="B299" i="1"/>
  <c r="H298" i="1"/>
  <c r="F298" i="1"/>
  <c r="E298" i="1"/>
  <c r="D298" i="1"/>
  <c r="G298" i="1" s="1"/>
  <c r="B298" i="1"/>
  <c r="F297" i="1"/>
  <c r="E297" i="1"/>
  <c r="D297" i="1"/>
  <c r="G297" i="1" s="1"/>
  <c r="B297" i="1"/>
  <c r="F296" i="1"/>
  <c r="E296" i="1"/>
  <c r="D296" i="1"/>
  <c r="B296" i="1"/>
  <c r="F295" i="1"/>
  <c r="E295" i="1"/>
  <c r="D295" i="1"/>
  <c r="G295" i="1" s="1"/>
  <c r="B295" i="1"/>
  <c r="F294" i="1"/>
  <c r="E294" i="1"/>
  <c r="D294" i="1"/>
  <c r="B294" i="1"/>
  <c r="F293" i="1"/>
  <c r="E293" i="1"/>
  <c r="H293" i="1" s="1"/>
  <c r="D293" i="1"/>
  <c r="B293" i="1"/>
  <c r="F292" i="1"/>
  <c r="E292" i="1"/>
  <c r="D292" i="1"/>
  <c r="B292" i="1"/>
  <c r="F291" i="1"/>
  <c r="E291" i="1"/>
  <c r="D291" i="1"/>
  <c r="B291" i="1"/>
  <c r="F290" i="1"/>
  <c r="E290" i="1"/>
  <c r="D290" i="1"/>
  <c r="G290" i="1" s="1"/>
  <c r="B290" i="1"/>
  <c r="F289" i="1"/>
  <c r="E289" i="1"/>
  <c r="D289" i="1"/>
  <c r="G289" i="1" s="1"/>
  <c r="B289" i="1"/>
  <c r="F288" i="1"/>
  <c r="E288" i="1"/>
  <c r="D288" i="1"/>
  <c r="B288" i="1"/>
  <c r="H287" i="1"/>
  <c r="F287" i="1"/>
  <c r="E287" i="1"/>
  <c r="D287" i="1"/>
  <c r="G287" i="1" s="1"/>
  <c r="B287" i="1"/>
  <c r="F286" i="1"/>
  <c r="E286" i="1"/>
  <c r="D286" i="1"/>
  <c r="G286" i="1" s="1"/>
  <c r="B286" i="1"/>
  <c r="F285" i="1"/>
  <c r="E285" i="1"/>
  <c r="H285" i="1" s="1"/>
  <c r="D285" i="1"/>
  <c r="B285" i="1"/>
  <c r="F284" i="1"/>
  <c r="E284" i="1"/>
  <c r="D284" i="1"/>
  <c r="G284" i="1" s="1"/>
  <c r="B284" i="1"/>
  <c r="F283" i="1"/>
  <c r="E283" i="1"/>
  <c r="D283" i="1"/>
  <c r="G283" i="1" s="1"/>
  <c r="B283" i="1"/>
  <c r="F282" i="1"/>
  <c r="E282" i="1"/>
  <c r="D282" i="1"/>
  <c r="B282" i="1"/>
  <c r="F281" i="1"/>
  <c r="E281" i="1"/>
  <c r="D281" i="1"/>
  <c r="G281" i="1" s="1"/>
  <c r="B281" i="1"/>
  <c r="F280" i="1"/>
  <c r="E280" i="1"/>
  <c r="D280" i="1"/>
  <c r="G280" i="1" s="1"/>
  <c r="B280" i="1"/>
  <c r="F279" i="1"/>
  <c r="E279" i="1"/>
  <c r="D279" i="1"/>
  <c r="B279" i="1"/>
  <c r="F278" i="1"/>
  <c r="E278" i="1"/>
  <c r="D278" i="1"/>
  <c r="G278" i="1" s="1"/>
  <c r="B278" i="1"/>
  <c r="F277" i="1"/>
  <c r="E277" i="1"/>
  <c r="D277" i="1"/>
  <c r="G277" i="1" s="1"/>
  <c r="B277" i="1"/>
  <c r="F276" i="1"/>
  <c r="E276" i="1"/>
  <c r="D276" i="1"/>
  <c r="B276" i="1"/>
  <c r="F275" i="1"/>
  <c r="E275" i="1"/>
  <c r="D275" i="1"/>
  <c r="G275" i="1" s="1"/>
  <c r="B275" i="1"/>
  <c r="F274" i="1"/>
  <c r="E274" i="1"/>
  <c r="D274" i="1"/>
  <c r="G274" i="1" s="1"/>
  <c r="B274" i="1"/>
  <c r="F273" i="1"/>
  <c r="E273" i="1"/>
  <c r="H273" i="1" s="1"/>
  <c r="D273" i="1"/>
  <c r="B273" i="1"/>
  <c r="F272" i="1"/>
  <c r="E272" i="1"/>
  <c r="D272" i="1"/>
  <c r="B272" i="1"/>
  <c r="F271" i="1"/>
  <c r="H271" i="1" s="1"/>
  <c r="E271" i="1"/>
  <c r="D271" i="1"/>
  <c r="G271" i="1" s="1"/>
  <c r="B271" i="1"/>
  <c r="F270" i="1"/>
  <c r="E270" i="1"/>
  <c r="D270" i="1"/>
  <c r="G270" i="1" s="1"/>
  <c r="B270" i="1"/>
  <c r="H269" i="1"/>
  <c r="F269" i="1"/>
  <c r="E269" i="1"/>
  <c r="D269" i="1"/>
  <c r="B269" i="1"/>
  <c r="F268" i="1"/>
  <c r="E268" i="1"/>
  <c r="D268" i="1"/>
  <c r="G268" i="1" s="1"/>
  <c r="B268" i="1"/>
  <c r="F267" i="1"/>
  <c r="E267" i="1"/>
  <c r="D267" i="1"/>
  <c r="G267" i="1" s="1"/>
  <c r="B267" i="1"/>
  <c r="F266" i="1"/>
  <c r="E266" i="1"/>
  <c r="D266" i="1"/>
  <c r="G266" i="1" s="1"/>
  <c r="B266" i="1"/>
  <c r="F265" i="1"/>
  <c r="E265" i="1"/>
  <c r="D265" i="1"/>
  <c r="H265" i="1" s="1"/>
  <c r="B265" i="1"/>
  <c r="F264" i="1"/>
  <c r="E264" i="1"/>
  <c r="D264" i="1"/>
  <c r="B264" i="1"/>
  <c r="F263" i="1"/>
  <c r="E263" i="1"/>
  <c r="D263" i="1"/>
  <c r="B263" i="1"/>
  <c r="F262" i="1"/>
  <c r="E262" i="1"/>
  <c r="D262" i="1"/>
  <c r="B262" i="1"/>
  <c r="F261" i="1"/>
  <c r="E261" i="1"/>
  <c r="D261" i="1"/>
  <c r="G261" i="1" s="1"/>
  <c r="B261" i="1"/>
  <c r="F260" i="1"/>
  <c r="E260" i="1"/>
  <c r="D260" i="1"/>
  <c r="B260" i="1"/>
  <c r="F259" i="1"/>
  <c r="E259" i="1"/>
  <c r="D259" i="1"/>
  <c r="G259" i="1" s="1"/>
  <c r="B259" i="1"/>
  <c r="F258" i="1"/>
  <c r="E258" i="1"/>
  <c r="D258" i="1"/>
  <c r="G258" i="1" s="1"/>
  <c r="B258" i="1"/>
  <c r="F257" i="1"/>
  <c r="E257" i="1"/>
  <c r="D257" i="1"/>
  <c r="G257" i="1" s="1"/>
  <c r="B257" i="1"/>
  <c r="F256" i="1"/>
  <c r="E256" i="1"/>
  <c r="D256" i="1"/>
  <c r="G256" i="1" s="1"/>
  <c r="B256" i="1"/>
  <c r="F255" i="1"/>
  <c r="E255" i="1"/>
  <c r="H255" i="1" s="1"/>
  <c r="D255" i="1"/>
  <c r="B255" i="1"/>
  <c r="F254" i="1"/>
  <c r="E254" i="1"/>
  <c r="D254" i="1"/>
  <c r="B254" i="1"/>
  <c r="F253" i="1"/>
  <c r="H253" i="1" s="1"/>
  <c r="E253" i="1"/>
  <c r="D253" i="1"/>
  <c r="B253" i="1"/>
  <c r="F252" i="1"/>
  <c r="E252" i="1"/>
  <c r="D252" i="1"/>
  <c r="G252" i="1" s="1"/>
  <c r="B252" i="1"/>
  <c r="H251" i="1"/>
  <c r="F251" i="1"/>
  <c r="E251" i="1"/>
  <c r="D251" i="1"/>
  <c r="G251" i="1" s="1"/>
  <c r="B251" i="1"/>
  <c r="F250" i="1"/>
  <c r="E250" i="1"/>
  <c r="D250" i="1"/>
  <c r="G250" i="1" s="1"/>
  <c r="B250" i="1"/>
  <c r="F249" i="1"/>
  <c r="E249" i="1"/>
  <c r="D249" i="1"/>
  <c r="G249" i="1" s="1"/>
  <c r="B249" i="1"/>
  <c r="F248" i="1"/>
  <c r="E248" i="1"/>
  <c r="D248" i="1"/>
  <c r="G248" i="1" s="1"/>
  <c r="B248" i="1"/>
  <c r="F247" i="1"/>
  <c r="E247" i="1"/>
  <c r="D247" i="1"/>
  <c r="B247" i="1"/>
  <c r="F246" i="1"/>
  <c r="E246" i="1"/>
  <c r="G246" i="1" s="1"/>
  <c r="D246" i="1"/>
  <c r="B246" i="1"/>
  <c r="F245" i="1"/>
  <c r="E245" i="1"/>
  <c r="D245" i="1"/>
  <c r="B245" i="1"/>
  <c r="F244" i="1"/>
  <c r="H244" i="1" s="1"/>
  <c r="E244" i="1"/>
  <c r="D244" i="1"/>
  <c r="G244" i="1" s="1"/>
  <c r="B244" i="1"/>
  <c r="F243" i="1"/>
  <c r="E243" i="1"/>
  <c r="D243" i="1"/>
  <c r="G243" i="1" s="1"/>
  <c r="B243" i="1"/>
  <c r="F242" i="1"/>
  <c r="E242" i="1"/>
  <c r="D242" i="1"/>
  <c r="B242" i="1"/>
  <c r="F241" i="1"/>
  <c r="E241" i="1"/>
  <c r="D241" i="1"/>
  <c r="B241" i="1"/>
  <c r="F240" i="1"/>
  <c r="E240" i="1"/>
  <c r="D240" i="1"/>
  <c r="G240" i="1" s="1"/>
  <c r="B240" i="1"/>
  <c r="F239" i="1"/>
  <c r="E239" i="1"/>
  <c r="D239" i="1"/>
  <c r="G239" i="1" s="1"/>
  <c r="B239" i="1"/>
  <c r="F238" i="1"/>
  <c r="E238" i="1"/>
  <c r="D238" i="1"/>
  <c r="B238" i="1"/>
  <c r="F237" i="1"/>
  <c r="E237" i="1"/>
  <c r="D237" i="1"/>
  <c r="G237" i="1" s="1"/>
  <c r="B237" i="1"/>
  <c r="F236" i="1"/>
  <c r="E236" i="1"/>
  <c r="D236" i="1"/>
  <c r="G236" i="1" s="1"/>
  <c r="B236" i="1"/>
  <c r="F235" i="1"/>
  <c r="E235" i="1"/>
  <c r="D235" i="1"/>
  <c r="B235" i="1"/>
  <c r="F234" i="1"/>
  <c r="E234" i="1"/>
  <c r="D234" i="1"/>
  <c r="H234" i="1" s="1"/>
  <c r="B234" i="1"/>
  <c r="F233" i="1"/>
  <c r="H233" i="1" s="1"/>
  <c r="E233" i="1"/>
  <c r="D233" i="1"/>
  <c r="B233" i="1"/>
  <c r="F232" i="1"/>
  <c r="E232" i="1"/>
  <c r="D232" i="1"/>
  <c r="B232" i="1"/>
  <c r="H231" i="1"/>
  <c r="F231" i="1"/>
  <c r="E231" i="1"/>
  <c r="D231" i="1"/>
  <c r="G231" i="1" s="1"/>
  <c r="B231" i="1"/>
  <c r="F230" i="1"/>
  <c r="E230" i="1"/>
  <c r="D230" i="1"/>
  <c r="H230" i="1" s="1"/>
  <c r="B230" i="1"/>
  <c r="F229" i="1"/>
  <c r="E229" i="1"/>
  <c r="D229" i="1"/>
  <c r="G229" i="1" s="1"/>
  <c r="B229" i="1"/>
  <c r="F228" i="1"/>
  <c r="E228" i="1"/>
  <c r="H228" i="1" s="1"/>
  <c r="D228" i="1"/>
  <c r="B228" i="1"/>
  <c r="F227" i="1"/>
  <c r="E227" i="1"/>
  <c r="D227" i="1"/>
  <c r="G227" i="1" s="1"/>
  <c r="B227" i="1"/>
  <c r="F226" i="1"/>
  <c r="E226" i="1"/>
  <c r="D226" i="1"/>
  <c r="B226" i="1"/>
  <c r="F225" i="1"/>
  <c r="E225" i="1"/>
  <c r="D225" i="1"/>
  <c r="B225" i="1"/>
  <c r="H224" i="1"/>
  <c r="F224" i="1"/>
  <c r="E224" i="1"/>
  <c r="D224" i="1"/>
  <c r="G224" i="1" s="1"/>
  <c r="B224" i="1"/>
  <c r="F223" i="1"/>
  <c r="E223" i="1"/>
  <c r="D223" i="1"/>
  <c r="B223" i="1"/>
  <c r="F222" i="1"/>
  <c r="E222" i="1"/>
  <c r="D222" i="1"/>
  <c r="G222" i="1" s="1"/>
  <c r="B222" i="1"/>
  <c r="F221" i="1"/>
  <c r="E221" i="1"/>
  <c r="D221" i="1"/>
  <c r="G221" i="1" s="1"/>
  <c r="B221" i="1"/>
  <c r="F220" i="1"/>
  <c r="E220" i="1"/>
  <c r="D220" i="1"/>
  <c r="G220" i="1" s="1"/>
  <c r="B220" i="1"/>
  <c r="F219" i="1"/>
  <c r="E219" i="1"/>
  <c r="D219" i="1"/>
  <c r="G219" i="1" s="1"/>
  <c r="B219" i="1"/>
  <c r="F218" i="1"/>
  <c r="E218" i="1"/>
  <c r="D218" i="1"/>
  <c r="B218" i="1"/>
  <c r="F217" i="1"/>
  <c r="E217" i="1"/>
  <c r="D217" i="1"/>
  <c r="B217" i="1"/>
  <c r="F216" i="1"/>
  <c r="E216" i="1"/>
  <c r="D216" i="1"/>
  <c r="H216" i="1" s="1"/>
  <c r="B216" i="1"/>
  <c r="F215" i="1"/>
  <c r="E215" i="1"/>
  <c r="D215" i="1"/>
  <c r="B215" i="1"/>
  <c r="G214" i="1"/>
  <c r="F214" i="1"/>
  <c r="E214" i="1"/>
  <c r="D214" i="1"/>
  <c r="B214" i="1"/>
  <c r="F213" i="1"/>
  <c r="E213" i="1"/>
  <c r="D213" i="1"/>
  <c r="G213" i="1" s="1"/>
  <c r="B213" i="1"/>
  <c r="F212" i="1"/>
  <c r="E212" i="1"/>
  <c r="D212" i="1"/>
  <c r="B212" i="1"/>
  <c r="F211" i="1"/>
  <c r="E211" i="1"/>
  <c r="D211" i="1"/>
  <c r="B211" i="1"/>
  <c r="F210" i="1"/>
  <c r="E210" i="1"/>
  <c r="D210" i="1"/>
  <c r="B210" i="1"/>
  <c r="H209" i="1"/>
  <c r="F209" i="1"/>
  <c r="E209" i="1"/>
  <c r="D209" i="1"/>
  <c r="B209" i="1"/>
  <c r="F208" i="1"/>
  <c r="E208" i="1"/>
  <c r="D208" i="1"/>
  <c r="G208" i="1" s="1"/>
  <c r="B208" i="1"/>
  <c r="F207" i="1"/>
  <c r="E207" i="1"/>
  <c r="D207" i="1"/>
  <c r="G207" i="1" s="1"/>
  <c r="B207" i="1"/>
  <c r="F206" i="1"/>
  <c r="E206" i="1"/>
  <c r="D206" i="1"/>
  <c r="B206" i="1"/>
  <c r="F205" i="1"/>
  <c r="E205" i="1"/>
  <c r="D205" i="1"/>
  <c r="B205" i="1"/>
  <c r="F204" i="1"/>
  <c r="E204" i="1"/>
  <c r="D204" i="1"/>
  <c r="B204" i="1"/>
  <c r="F203" i="1"/>
  <c r="E203" i="1"/>
  <c r="H203" i="1" s="1"/>
  <c r="D203" i="1"/>
  <c r="B203" i="1"/>
  <c r="F202" i="1"/>
  <c r="H202" i="1" s="1"/>
  <c r="E202" i="1"/>
  <c r="D202" i="1"/>
  <c r="B202" i="1"/>
  <c r="F201" i="1"/>
  <c r="E201" i="1"/>
  <c r="D201" i="1"/>
  <c r="B201" i="1"/>
  <c r="G200" i="1"/>
  <c r="F200" i="1"/>
  <c r="E200" i="1"/>
  <c r="D200" i="1"/>
  <c r="H200" i="1" s="1"/>
  <c r="B200" i="1"/>
  <c r="F199" i="1"/>
  <c r="E199" i="1"/>
  <c r="D199" i="1"/>
  <c r="H199" i="1" s="1"/>
  <c r="B199" i="1"/>
  <c r="F198" i="1"/>
  <c r="E198" i="1"/>
  <c r="D198" i="1"/>
  <c r="G198" i="1" s="1"/>
  <c r="B198" i="1"/>
  <c r="F197" i="1"/>
  <c r="E197" i="1"/>
  <c r="D197" i="1"/>
  <c r="G197" i="1" s="1"/>
  <c r="B197" i="1"/>
  <c r="F196" i="1"/>
  <c r="E196" i="1"/>
  <c r="D196" i="1"/>
  <c r="G196" i="1" s="1"/>
  <c r="B196" i="1"/>
  <c r="F195" i="1"/>
  <c r="E195" i="1"/>
  <c r="H195" i="1" s="1"/>
  <c r="D195" i="1"/>
  <c r="B195" i="1"/>
  <c r="F194" i="1"/>
  <c r="E194" i="1"/>
  <c r="D194" i="1"/>
  <c r="B194" i="1"/>
  <c r="F193" i="1"/>
  <c r="H193" i="1" s="1"/>
  <c r="E193" i="1"/>
  <c r="D193" i="1"/>
  <c r="B193" i="1"/>
  <c r="F192" i="1"/>
  <c r="E192" i="1"/>
  <c r="D192" i="1"/>
  <c r="B192" i="1"/>
  <c r="G191" i="1"/>
  <c r="F191" i="1"/>
  <c r="E191" i="1"/>
  <c r="D191" i="1"/>
  <c r="B191" i="1"/>
  <c r="F190" i="1"/>
  <c r="E190" i="1"/>
  <c r="D190" i="1"/>
  <c r="G190" i="1" s="1"/>
  <c r="B190" i="1"/>
  <c r="F189" i="1"/>
  <c r="E189" i="1"/>
  <c r="D189" i="1"/>
  <c r="B189" i="1"/>
  <c r="F188" i="1"/>
  <c r="E188" i="1"/>
  <c r="D188" i="1"/>
  <c r="G188" i="1" s="1"/>
  <c r="B188" i="1"/>
  <c r="F187" i="1"/>
  <c r="E187" i="1"/>
  <c r="D187" i="1"/>
  <c r="H187" i="1" s="1"/>
  <c r="B187" i="1"/>
  <c r="F186" i="1"/>
  <c r="E186" i="1"/>
  <c r="D186" i="1"/>
  <c r="H186" i="1" s="1"/>
  <c r="B186" i="1"/>
  <c r="F185" i="1"/>
  <c r="E185" i="1"/>
  <c r="D185" i="1"/>
  <c r="B185" i="1"/>
  <c r="F184" i="1"/>
  <c r="E184" i="1"/>
  <c r="G184" i="1" s="1"/>
  <c r="D184" i="1"/>
  <c r="B184" i="1"/>
  <c r="F183" i="1"/>
  <c r="E183" i="1"/>
  <c r="H183" i="1" s="1"/>
  <c r="D183" i="1"/>
  <c r="B183" i="1"/>
  <c r="G182" i="1"/>
  <c r="F182" i="1"/>
  <c r="E182" i="1"/>
  <c r="D182" i="1"/>
  <c r="B182" i="1"/>
  <c r="F181" i="1"/>
  <c r="E181" i="1"/>
  <c r="D181" i="1"/>
  <c r="G181" i="1" s="1"/>
  <c r="B181" i="1"/>
  <c r="F180" i="1"/>
  <c r="E180" i="1"/>
  <c r="D180" i="1"/>
  <c r="B180" i="1"/>
  <c r="F179" i="1"/>
  <c r="E179" i="1"/>
  <c r="D179" i="1"/>
  <c r="B179" i="1"/>
  <c r="F178" i="1"/>
  <c r="E178" i="1"/>
  <c r="D178" i="1"/>
  <c r="G178" i="1" s="1"/>
  <c r="B178" i="1"/>
  <c r="F177" i="1"/>
  <c r="E177" i="1"/>
  <c r="D177" i="1"/>
  <c r="H177" i="1" s="1"/>
  <c r="B177" i="1"/>
  <c r="F176" i="1"/>
  <c r="E176" i="1"/>
  <c r="D176" i="1"/>
  <c r="G176" i="1" s="1"/>
  <c r="B176" i="1"/>
  <c r="F175" i="1"/>
  <c r="E175" i="1"/>
  <c r="G175" i="1" s="1"/>
  <c r="D175" i="1"/>
  <c r="B175" i="1"/>
  <c r="F174" i="1"/>
  <c r="E174" i="1"/>
  <c r="D174" i="1"/>
  <c r="B174" i="1"/>
  <c r="F173" i="1"/>
  <c r="E173" i="1"/>
  <c r="D173" i="1"/>
  <c r="B173" i="1"/>
  <c r="F172" i="1"/>
  <c r="E172" i="1"/>
  <c r="D172" i="1"/>
  <c r="B172" i="1"/>
  <c r="F171" i="1"/>
  <c r="E171" i="1"/>
  <c r="H171" i="1" s="1"/>
  <c r="D171" i="1"/>
  <c r="B171" i="1"/>
  <c r="F170" i="1"/>
  <c r="E170" i="1"/>
  <c r="D170" i="1"/>
  <c r="G170" i="1" s="1"/>
  <c r="B170" i="1"/>
  <c r="F169" i="1"/>
  <c r="E169" i="1"/>
  <c r="D169" i="1"/>
  <c r="B169" i="1"/>
  <c r="F168" i="1"/>
  <c r="E168" i="1"/>
  <c r="D168" i="1"/>
  <c r="B168" i="1"/>
  <c r="F167" i="1"/>
  <c r="E167" i="1"/>
  <c r="D167" i="1"/>
  <c r="G167" i="1" s="1"/>
  <c r="B167" i="1"/>
  <c r="F166" i="1"/>
  <c r="E166" i="1"/>
  <c r="D166" i="1"/>
  <c r="G166" i="1" s="1"/>
  <c r="B166" i="1"/>
  <c r="F165" i="1"/>
  <c r="E165" i="1"/>
  <c r="D165" i="1"/>
  <c r="H165" i="1" s="1"/>
  <c r="B165" i="1"/>
  <c r="F164" i="1"/>
  <c r="E164" i="1"/>
  <c r="D164" i="1"/>
  <c r="H164" i="1" s="1"/>
  <c r="B164" i="1"/>
  <c r="F163" i="1"/>
  <c r="E163" i="1"/>
  <c r="D163" i="1"/>
  <c r="G163" i="1" s="1"/>
  <c r="B163" i="1"/>
  <c r="F162" i="1"/>
  <c r="E162" i="1"/>
  <c r="D162" i="1"/>
  <c r="B162" i="1"/>
  <c r="F161" i="1"/>
  <c r="E161" i="1"/>
  <c r="D161" i="1"/>
  <c r="H161" i="1" s="1"/>
  <c r="B161" i="1"/>
  <c r="F160" i="1"/>
  <c r="E160" i="1"/>
  <c r="D160" i="1"/>
  <c r="H160" i="1" s="1"/>
  <c r="B160" i="1"/>
  <c r="F159" i="1"/>
  <c r="E159" i="1"/>
  <c r="D159" i="1"/>
  <c r="G159" i="1" s="1"/>
  <c r="B159" i="1"/>
  <c r="F158" i="1"/>
  <c r="E158" i="1"/>
  <c r="H158" i="1" s="1"/>
  <c r="D158" i="1"/>
  <c r="B158" i="1"/>
  <c r="F157" i="1"/>
  <c r="E157" i="1"/>
  <c r="D157" i="1"/>
  <c r="B157" i="1"/>
  <c r="F156" i="1"/>
  <c r="E156" i="1"/>
  <c r="D156" i="1"/>
  <c r="B156" i="1"/>
  <c r="F155" i="1"/>
  <c r="E155" i="1"/>
  <c r="H155" i="1" s="1"/>
  <c r="D155" i="1"/>
  <c r="B155" i="1"/>
  <c r="F154" i="1"/>
  <c r="H154" i="1" s="1"/>
  <c r="E154" i="1"/>
  <c r="D154" i="1"/>
  <c r="G154" i="1" s="1"/>
  <c r="B154" i="1"/>
  <c r="F153" i="1"/>
  <c r="E153" i="1"/>
  <c r="D153" i="1"/>
  <c r="B153" i="1"/>
  <c r="F152" i="1"/>
  <c r="E152" i="1"/>
  <c r="D152" i="1"/>
  <c r="B152" i="1"/>
  <c r="F151" i="1"/>
  <c r="E151" i="1"/>
  <c r="D151" i="1"/>
  <c r="G151" i="1" s="1"/>
  <c r="B151" i="1"/>
  <c r="H150" i="1"/>
  <c r="F150" i="1"/>
  <c r="E150" i="1"/>
  <c r="D150" i="1"/>
  <c r="G150" i="1" s="1"/>
  <c r="B150" i="1"/>
  <c r="F149" i="1"/>
  <c r="E149" i="1"/>
  <c r="D149" i="1"/>
  <c r="H149" i="1" s="1"/>
  <c r="B149" i="1"/>
  <c r="F148" i="1"/>
  <c r="E148" i="1"/>
  <c r="D148" i="1"/>
  <c r="H148" i="1" s="1"/>
  <c r="B148" i="1"/>
  <c r="F147" i="1"/>
  <c r="E147" i="1"/>
  <c r="D147" i="1"/>
  <c r="G147" i="1" s="1"/>
  <c r="B147" i="1"/>
  <c r="F146" i="1"/>
  <c r="E146" i="1"/>
  <c r="D146" i="1"/>
  <c r="G146" i="1" s="1"/>
  <c r="B146" i="1"/>
  <c r="F145" i="1"/>
  <c r="E145" i="1"/>
  <c r="D145" i="1"/>
  <c r="H145" i="1" s="1"/>
  <c r="B145" i="1"/>
  <c r="F144" i="1"/>
  <c r="E144" i="1"/>
  <c r="D144" i="1"/>
  <c r="H144" i="1" s="1"/>
  <c r="B144" i="1"/>
  <c r="F143" i="1"/>
  <c r="E143" i="1"/>
  <c r="D143" i="1"/>
  <c r="G143" i="1" s="1"/>
  <c r="B143" i="1"/>
  <c r="F142" i="1"/>
  <c r="E142" i="1"/>
  <c r="D142" i="1"/>
  <c r="H142" i="1" s="1"/>
  <c r="B142" i="1"/>
  <c r="F141" i="1"/>
  <c r="E141" i="1"/>
  <c r="D141" i="1"/>
  <c r="B141" i="1"/>
  <c r="F140" i="1"/>
  <c r="E140" i="1"/>
  <c r="D140" i="1"/>
  <c r="B140" i="1"/>
  <c r="F139" i="1"/>
  <c r="E139" i="1"/>
  <c r="H139" i="1" s="1"/>
  <c r="D139" i="1"/>
  <c r="B139" i="1"/>
  <c r="F138" i="1"/>
  <c r="E138" i="1"/>
  <c r="D138" i="1"/>
  <c r="G138" i="1" s="1"/>
  <c r="B138" i="1"/>
  <c r="F137" i="1"/>
  <c r="E137" i="1"/>
  <c r="D137" i="1"/>
  <c r="B137" i="1"/>
  <c r="F136" i="1"/>
  <c r="E136" i="1"/>
  <c r="D136" i="1"/>
  <c r="B136" i="1"/>
  <c r="F135" i="1"/>
  <c r="E135" i="1"/>
  <c r="D135" i="1"/>
  <c r="G135" i="1" s="1"/>
  <c r="B135" i="1"/>
  <c r="F134" i="1"/>
  <c r="E134" i="1"/>
  <c r="D134" i="1"/>
  <c r="G134" i="1" s="1"/>
  <c r="B134" i="1"/>
  <c r="F133" i="1"/>
  <c r="E133" i="1"/>
  <c r="D133" i="1"/>
  <c r="H133" i="1" s="1"/>
  <c r="B133" i="1"/>
  <c r="F132" i="1"/>
  <c r="E132" i="1"/>
  <c r="D132" i="1"/>
  <c r="H132" i="1" s="1"/>
  <c r="B132" i="1"/>
  <c r="F131" i="1"/>
  <c r="E131" i="1"/>
  <c r="D131" i="1"/>
  <c r="G131" i="1" s="1"/>
  <c r="B131" i="1"/>
  <c r="F130" i="1"/>
  <c r="E130" i="1"/>
  <c r="D130" i="1"/>
  <c r="B130" i="1"/>
  <c r="F129" i="1"/>
  <c r="E129" i="1"/>
  <c r="D129" i="1"/>
  <c r="H129" i="1" s="1"/>
  <c r="B129" i="1"/>
  <c r="F128" i="1"/>
  <c r="E128" i="1"/>
  <c r="D128" i="1"/>
  <c r="H128" i="1" s="1"/>
  <c r="B128" i="1"/>
  <c r="F127" i="1"/>
  <c r="E127" i="1"/>
  <c r="D127" i="1"/>
  <c r="G127" i="1" s="1"/>
  <c r="B127" i="1"/>
  <c r="F126" i="1"/>
  <c r="E126" i="1"/>
  <c r="H126" i="1" s="1"/>
  <c r="D126" i="1"/>
  <c r="B126" i="1"/>
  <c r="F125" i="1"/>
  <c r="E125" i="1"/>
  <c r="D125" i="1"/>
  <c r="B125" i="1"/>
  <c r="F124" i="1"/>
  <c r="E124" i="1"/>
  <c r="D124" i="1"/>
  <c r="B124" i="1"/>
  <c r="F123" i="1"/>
  <c r="E123" i="1"/>
  <c r="D123" i="1"/>
  <c r="B123" i="1"/>
  <c r="F122" i="1"/>
  <c r="H122" i="1" s="1"/>
  <c r="E122" i="1"/>
  <c r="D122" i="1"/>
  <c r="G122" i="1" s="1"/>
  <c r="B122" i="1"/>
  <c r="F121" i="1"/>
  <c r="E121" i="1"/>
  <c r="D121" i="1"/>
  <c r="B121" i="1"/>
  <c r="F120" i="1"/>
  <c r="E120" i="1"/>
  <c r="D120" i="1"/>
  <c r="B120" i="1"/>
  <c r="F119" i="1"/>
  <c r="H119" i="1" s="1"/>
  <c r="E119" i="1"/>
  <c r="D119" i="1"/>
  <c r="G119" i="1" s="1"/>
  <c r="B119" i="1"/>
  <c r="H118" i="1"/>
  <c r="F118" i="1"/>
  <c r="E118" i="1"/>
  <c r="D118" i="1"/>
  <c r="G118" i="1" s="1"/>
  <c r="B118" i="1"/>
  <c r="F117" i="1"/>
  <c r="E117" i="1"/>
  <c r="D117" i="1"/>
  <c r="H117" i="1" s="1"/>
  <c r="B117" i="1"/>
  <c r="F116" i="1"/>
  <c r="E116" i="1"/>
  <c r="D116" i="1"/>
  <c r="H116" i="1" s="1"/>
  <c r="B116" i="1"/>
  <c r="F115" i="1"/>
  <c r="E115" i="1"/>
  <c r="D115" i="1"/>
  <c r="G115" i="1" s="1"/>
  <c r="B115" i="1"/>
  <c r="F114" i="1"/>
  <c r="E114" i="1"/>
  <c r="D114" i="1"/>
  <c r="G114" i="1" s="1"/>
  <c r="B114" i="1"/>
  <c r="F113" i="1"/>
  <c r="E113" i="1"/>
  <c r="D113" i="1"/>
  <c r="H113" i="1" s="1"/>
  <c r="B113" i="1"/>
  <c r="F112" i="1"/>
  <c r="E112" i="1"/>
  <c r="D112" i="1"/>
  <c r="H112" i="1" s="1"/>
  <c r="B112" i="1"/>
  <c r="F111" i="1"/>
  <c r="E111" i="1"/>
  <c r="D111" i="1"/>
  <c r="G111" i="1" s="1"/>
  <c r="B111" i="1"/>
  <c r="F110" i="1"/>
  <c r="E110" i="1"/>
  <c r="D110" i="1"/>
  <c r="H110" i="1" s="1"/>
  <c r="B110" i="1"/>
  <c r="F109" i="1"/>
  <c r="E109" i="1"/>
  <c r="D109" i="1"/>
  <c r="B109" i="1"/>
  <c r="F108" i="1"/>
  <c r="E108" i="1"/>
  <c r="D108" i="1"/>
  <c r="B108" i="1"/>
  <c r="F107" i="1"/>
  <c r="E107" i="1"/>
  <c r="D107" i="1"/>
  <c r="B107" i="1"/>
  <c r="F106" i="1"/>
  <c r="E106" i="1"/>
  <c r="D106" i="1"/>
  <c r="G106" i="1" s="1"/>
  <c r="B106" i="1"/>
  <c r="F105" i="1"/>
  <c r="E105" i="1"/>
  <c r="D105" i="1"/>
  <c r="B105" i="1"/>
  <c r="F104" i="1"/>
  <c r="E104" i="1"/>
  <c r="D104" i="1"/>
  <c r="H104" i="1" s="1"/>
  <c r="B104" i="1"/>
  <c r="F103" i="1"/>
  <c r="H103" i="1" s="1"/>
  <c r="E103" i="1"/>
  <c r="D103" i="1"/>
  <c r="G103" i="1" s="1"/>
  <c r="B103" i="1"/>
  <c r="F102" i="1"/>
  <c r="E102" i="1"/>
  <c r="D102" i="1"/>
  <c r="G102" i="1" s="1"/>
  <c r="B102" i="1"/>
  <c r="F101" i="1"/>
  <c r="E101" i="1"/>
  <c r="D101" i="1"/>
  <c r="H101" i="1" s="1"/>
  <c r="B101" i="1"/>
  <c r="F100" i="1"/>
  <c r="E100" i="1"/>
  <c r="D100" i="1"/>
  <c r="H100" i="1" s="1"/>
  <c r="B100" i="1"/>
  <c r="F99" i="1"/>
  <c r="E99" i="1"/>
  <c r="D99" i="1"/>
  <c r="G99" i="1" s="1"/>
  <c r="B99" i="1"/>
  <c r="F98" i="1"/>
  <c r="E98" i="1"/>
  <c r="D98" i="1"/>
  <c r="B98" i="1"/>
  <c r="F97" i="1"/>
  <c r="E97" i="1"/>
  <c r="D97" i="1"/>
  <c r="H97" i="1" s="1"/>
  <c r="B97" i="1"/>
  <c r="F96" i="1"/>
  <c r="E96" i="1"/>
  <c r="D96" i="1"/>
  <c r="H96" i="1" s="1"/>
  <c r="B96" i="1"/>
  <c r="F95" i="1"/>
  <c r="E95" i="1"/>
  <c r="D95" i="1"/>
  <c r="G95" i="1" s="1"/>
  <c r="B95" i="1"/>
  <c r="F94" i="1"/>
  <c r="E94" i="1"/>
  <c r="H94" i="1" s="1"/>
  <c r="D94" i="1"/>
  <c r="B94" i="1"/>
  <c r="F93" i="1"/>
  <c r="E93" i="1"/>
  <c r="D93" i="1"/>
  <c r="B93" i="1"/>
  <c r="F92" i="1"/>
  <c r="E92" i="1"/>
  <c r="D92" i="1"/>
  <c r="B92" i="1"/>
  <c r="F91" i="1"/>
  <c r="E91" i="1"/>
  <c r="D91" i="1"/>
  <c r="B91" i="1"/>
  <c r="F90" i="1"/>
  <c r="H90" i="1" s="1"/>
  <c r="E90" i="1"/>
  <c r="D90" i="1"/>
  <c r="G90" i="1" s="1"/>
  <c r="B90" i="1"/>
  <c r="F89" i="1"/>
  <c r="E89" i="1"/>
  <c r="D89" i="1"/>
  <c r="H89" i="1" s="1"/>
  <c r="B89" i="1"/>
  <c r="F88" i="1"/>
  <c r="E88" i="1"/>
  <c r="D88" i="1"/>
  <c r="B88" i="1"/>
  <c r="F87" i="1"/>
  <c r="E87" i="1"/>
  <c r="D87" i="1"/>
  <c r="G87" i="1" s="1"/>
  <c r="B87" i="1"/>
  <c r="H86" i="1"/>
  <c r="F86" i="1"/>
  <c r="E86" i="1"/>
  <c r="D86" i="1"/>
  <c r="G86" i="1" s="1"/>
  <c r="B86" i="1"/>
  <c r="F85" i="1"/>
  <c r="E85" i="1"/>
  <c r="D85" i="1"/>
  <c r="H85" i="1" s="1"/>
  <c r="B85" i="1"/>
  <c r="F84" i="1"/>
  <c r="E84" i="1"/>
  <c r="D84" i="1"/>
  <c r="H84" i="1" s="1"/>
  <c r="B84" i="1"/>
  <c r="F83" i="1"/>
  <c r="E83" i="1"/>
  <c r="D83" i="1"/>
  <c r="G83" i="1" s="1"/>
  <c r="B83" i="1"/>
  <c r="F82" i="1"/>
  <c r="E82" i="1"/>
  <c r="D82" i="1"/>
  <c r="G82" i="1" s="1"/>
  <c r="B82" i="1"/>
  <c r="F81" i="1"/>
  <c r="E81" i="1"/>
  <c r="D81" i="1"/>
  <c r="B81" i="1"/>
  <c r="F80" i="1"/>
  <c r="E80" i="1"/>
  <c r="D80" i="1"/>
  <c r="H80" i="1" s="1"/>
  <c r="B80" i="1"/>
  <c r="F79" i="1"/>
  <c r="E79" i="1"/>
  <c r="D79" i="1"/>
  <c r="B79" i="1"/>
  <c r="F78" i="1"/>
  <c r="E78" i="1"/>
  <c r="D78" i="1"/>
  <c r="H78" i="1" s="1"/>
  <c r="B78" i="1"/>
  <c r="F77" i="1"/>
  <c r="E77" i="1"/>
  <c r="D77" i="1"/>
  <c r="B77" i="1"/>
  <c r="F76" i="1"/>
  <c r="E76" i="1"/>
  <c r="D76" i="1"/>
  <c r="B76" i="1"/>
  <c r="F75" i="1"/>
  <c r="E75" i="1"/>
  <c r="D75" i="1"/>
  <c r="B75" i="1"/>
  <c r="F74" i="1"/>
  <c r="E74" i="1"/>
  <c r="D74" i="1"/>
  <c r="G74" i="1" s="1"/>
  <c r="B74" i="1"/>
  <c r="F73" i="1"/>
  <c r="E73" i="1"/>
  <c r="D73" i="1"/>
  <c r="B73" i="1"/>
  <c r="F72" i="1"/>
  <c r="E72" i="1"/>
  <c r="D72" i="1"/>
  <c r="H72" i="1" s="1"/>
  <c r="B72" i="1"/>
  <c r="F71" i="1"/>
  <c r="H71" i="1" s="1"/>
  <c r="E71" i="1"/>
  <c r="D71" i="1"/>
  <c r="G71" i="1" s="1"/>
  <c r="B71" i="1"/>
  <c r="F70" i="1"/>
  <c r="E70" i="1"/>
  <c r="D70" i="1"/>
  <c r="B70" i="1"/>
  <c r="F69" i="1"/>
  <c r="E69" i="1"/>
  <c r="D69" i="1"/>
  <c r="H69" i="1" s="1"/>
  <c r="B69" i="1"/>
  <c r="F68" i="1"/>
  <c r="E68" i="1"/>
  <c r="D68" i="1"/>
  <c r="H68" i="1" s="1"/>
  <c r="B68" i="1"/>
  <c r="F67" i="1"/>
  <c r="E67" i="1"/>
  <c r="D67" i="1"/>
  <c r="G67" i="1" s="1"/>
  <c r="B67" i="1"/>
  <c r="F66" i="1"/>
  <c r="E66" i="1"/>
  <c r="D66" i="1"/>
  <c r="B66" i="1"/>
  <c r="F65" i="1"/>
  <c r="E65" i="1"/>
  <c r="D65" i="1"/>
  <c r="H65" i="1" s="1"/>
  <c r="B65" i="1"/>
  <c r="F64" i="1"/>
  <c r="E64" i="1"/>
  <c r="D64" i="1"/>
  <c r="H64" i="1" s="1"/>
  <c r="B64" i="1"/>
  <c r="F63" i="1"/>
  <c r="E63" i="1"/>
  <c r="D63" i="1"/>
  <c r="G63" i="1" s="1"/>
  <c r="B63" i="1"/>
  <c r="F62" i="1"/>
  <c r="E62" i="1"/>
  <c r="H62" i="1" s="1"/>
  <c r="D62" i="1"/>
  <c r="B62" i="1"/>
  <c r="F61" i="1"/>
  <c r="E61" i="1"/>
  <c r="D61" i="1"/>
  <c r="B61" i="1"/>
  <c r="F60" i="1"/>
  <c r="E60" i="1"/>
  <c r="D60" i="1"/>
  <c r="B60" i="1"/>
  <c r="F59" i="1"/>
  <c r="E59" i="1"/>
  <c r="D59" i="1"/>
  <c r="B59" i="1"/>
  <c r="F58" i="1"/>
  <c r="H58" i="1" s="1"/>
  <c r="E58" i="1"/>
  <c r="D58" i="1"/>
  <c r="G58" i="1" s="1"/>
  <c r="B58" i="1"/>
  <c r="F57" i="1"/>
  <c r="E57" i="1"/>
  <c r="D57" i="1"/>
  <c r="H57" i="1" s="1"/>
  <c r="B57" i="1"/>
  <c r="F56" i="1"/>
  <c r="E56" i="1"/>
  <c r="D56" i="1"/>
  <c r="B56" i="1"/>
  <c r="F55" i="1"/>
  <c r="E55" i="1"/>
  <c r="D55" i="1"/>
  <c r="G55" i="1" s="1"/>
  <c r="B55" i="1"/>
  <c r="H54" i="1"/>
  <c r="F54" i="1"/>
  <c r="E54" i="1"/>
  <c r="D54" i="1"/>
  <c r="G54" i="1" s="1"/>
  <c r="B54" i="1"/>
  <c r="F53" i="1"/>
  <c r="E53" i="1"/>
  <c r="D53" i="1"/>
  <c r="H53" i="1" s="1"/>
  <c r="B53" i="1"/>
  <c r="F52" i="1"/>
  <c r="E52" i="1"/>
  <c r="D52" i="1"/>
  <c r="H52" i="1" s="1"/>
  <c r="B52" i="1"/>
  <c r="F51" i="1"/>
  <c r="E51" i="1"/>
  <c r="D51" i="1"/>
  <c r="G51" i="1" s="1"/>
  <c r="B51" i="1"/>
  <c r="F50" i="1"/>
  <c r="E50" i="1"/>
  <c r="D50" i="1"/>
  <c r="G50" i="1" s="1"/>
  <c r="B50" i="1"/>
  <c r="F49" i="1"/>
  <c r="E49" i="1"/>
  <c r="D49" i="1"/>
  <c r="H49" i="1" s="1"/>
  <c r="B49" i="1"/>
  <c r="F48" i="1"/>
  <c r="E48" i="1"/>
  <c r="D48" i="1"/>
  <c r="H48" i="1" s="1"/>
  <c r="B48" i="1"/>
  <c r="F47" i="1"/>
  <c r="E47" i="1"/>
  <c r="D47" i="1"/>
  <c r="H47" i="1" s="1"/>
  <c r="B47" i="1"/>
  <c r="F46" i="1"/>
  <c r="E46" i="1"/>
  <c r="D46" i="1"/>
  <c r="H46" i="1" s="1"/>
  <c r="B46" i="1"/>
  <c r="F45" i="1"/>
  <c r="E45" i="1"/>
  <c r="D45" i="1"/>
  <c r="B45" i="1"/>
  <c r="F44" i="1"/>
  <c r="E44" i="1"/>
  <c r="D44" i="1"/>
  <c r="B44" i="1"/>
  <c r="F43" i="1"/>
  <c r="E43" i="1"/>
  <c r="D43" i="1"/>
  <c r="B43" i="1"/>
  <c r="F42" i="1"/>
  <c r="E42" i="1"/>
  <c r="D42" i="1"/>
  <c r="G42" i="1" s="1"/>
  <c r="B42" i="1"/>
  <c r="F41" i="1"/>
  <c r="E41" i="1"/>
  <c r="D41" i="1"/>
  <c r="B41" i="1"/>
  <c r="F40" i="1"/>
  <c r="E40" i="1"/>
  <c r="D40" i="1"/>
  <c r="H40" i="1" s="1"/>
  <c r="B40" i="1"/>
  <c r="F39" i="1"/>
  <c r="E39" i="1"/>
  <c r="D39" i="1"/>
  <c r="B39" i="1"/>
  <c r="F38" i="1"/>
  <c r="E38" i="1"/>
  <c r="D38" i="1"/>
  <c r="B38" i="1"/>
  <c r="F37" i="1"/>
  <c r="E37" i="1"/>
  <c r="D37" i="1"/>
  <c r="G37" i="1" s="1"/>
  <c r="B37" i="1"/>
  <c r="F36" i="1"/>
  <c r="E36" i="1"/>
  <c r="D36" i="1"/>
  <c r="H36" i="1" s="1"/>
  <c r="B36" i="1"/>
  <c r="F35" i="1"/>
  <c r="E35" i="1"/>
  <c r="D35" i="1"/>
  <c r="H35" i="1" s="1"/>
  <c r="B35" i="1"/>
  <c r="F34" i="1"/>
  <c r="E34" i="1"/>
  <c r="D34" i="1"/>
  <c r="B34" i="1"/>
  <c r="F33" i="1"/>
  <c r="E33" i="1"/>
  <c r="D33" i="1"/>
  <c r="G33" i="1" s="1"/>
  <c r="B33" i="1"/>
  <c r="F32" i="1"/>
  <c r="E32" i="1"/>
  <c r="D32" i="1"/>
  <c r="H32" i="1" s="1"/>
  <c r="B32" i="1"/>
  <c r="F31" i="1"/>
  <c r="E31" i="1"/>
  <c r="D31" i="1"/>
  <c r="H31" i="1" s="1"/>
  <c r="B31" i="1"/>
  <c r="F30" i="1"/>
  <c r="E30" i="1"/>
  <c r="D30" i="1"/>
  <c r="B30" i="1"/>
  <c r="F29" i="1"/>
  <c r="E29" i="1"/>
  <c r="D29" i="1"/>
  <c r="B29" i="1"/>
  <c r="F28" i="1"/>
  <c r="E28" i="1"/>
  <c r="D28" i="1"/>
  <c r="B28" i="1"/>
  <c r="F27" i="1"/>
  <c r="E27" i="1"/>
  <c r="D27" i="1"/>
  <c r="B27" i="1"/>
  <c r="H26" i="1"/>
  <c r="F26" i="1"/>
  <c r="E26" i="1"/>
  <c r="D26" i="1"/>
  <c r="G26" i="1" s="1"/>
  <c r="B26" i="1"/>
  <c r="F25" i="1"/>
  <c r="E25" i="1"/>
  <c r="D25" i="1"/>
  <c r="G25" i="1" s="1"/>
  <c r="B25" i="1"/>
  <c r="F24" i="1"/>
  <c r="E24" i="1"/>
  <c r="D24" i="1"/>
  <c r="B24" i="1"/>
  <c r="F23" i="1"/>
  <c r="E23" i="1"/>
  <c r="D23" i="1"/>
  <c r="H23" i="1" s="1"/>
  <c r="B23" i="1"/>
  <c r="H22" i="1"/>
  <c r="F22" i="1"/>
  <c r="E22" i="1"/>
  <c r="D22" i="1"/>
  <c r="G22" i="1" s="1"/>
  <c r="B22" i="1"/>
  <c r="F21" i="1"/>
  <c r="E21" i="1"/>
  <c r="D21" i="1"/>
  <c r="G21" i="1" s="1"/>
  <c r="B21" i="1"/>
  <c r="F20" i="1"/>
  <c r="E20" i="1"/>
  <c r="D20" i="1"/>
  <c r="H20" i="1" s="1"/>
  <c r="B20" i="1"/>
  <c r="F19" i="1"/>
  <c r="E19" i="1"/>
  <c r="D19" i="1"/>
  <c r="H19" i="1" s="1"/>
  <c r="B19" i="1"/>
  <c r="F18" i="1"/>
  <c r="E18" i="1"/>
  <c r="D18" i="1"/>
  <c r="G18" i="1" s="1"/>
  <c r="B18" i="1"/>
  <c r="F17" i="1"/>
  <c r="E17" i="1"/>
  <c r="D17" i="1"/>
  <c r="G17" i="1" s="1"/>
  <c r="B17" i="1"/>
  <c r="F16" i="1"/>
  <c r="E16" i="1"/>
  <c r="D16" i="1"/>
  <c r="H16" i="1" s="1"/>
  <c r="B16" i="1"/>
  <c r="F15" i="1"/>
  <c r="E15" i="1"/>
  <c r="D15" i="1"/>
  <c r="H15" i="1" s="1"/>
  <c r="B15" i="1"/>
  <c r="F14" i="1"/>
  <c r="E14" i="1"/>
  <c r="D14" i="1"/>
  <c r="H14" i="1" s="1"/>
  <c r="B14" i="1"/>
  <c r="F13" i="1"/>
  <c r="E13" i="1"/>
  <c r="D13" i="1"/>
  <c r="B13" i="1"/>
  <c r="F12" i="1"/>
  <c r="E12" i="1"/>
  <c r="D12" i="1"/>
  <c r="H12" i="1" s="1"/>
  <c r="B12" i="1"/>
  <c r="F11" i="1"/>
  <c r="E11" i="1"/>
  <c r="D11" i="1"/>
  <c r="B11" i="1"/>
  <c r="F10" i="1"/>
  <c r="E10" i="1"/>
  <c r="D10" i="1"/>
  <c r="G10" i="1" s="1"/>
  <c r="B10" i="1"/>
  <c r="F9" i="1"/>
  <c r="H9" i="1" s="1"/>
  <c r="E9" i="1"/>
  <c r="D9" i="1"/>
  <c r="G9" i="1" s="1"/>
  <c r="B9" i="1"/>
  <c r="F8" i="1"/>
  <c r="E8" i="1"/>
  <c r="D8" i="1"/>
  <c r="H8" i="1" s="1"/>
  <c r="B8" i="1"/>
  <c r="F7" i="1"/>
  <c r="E7" i="1"/>
  <c r="D7" i="1"/>
  <c r="B7" i="1"/>
  <c r="F6" i="1"/>
  <c r="E6" i="1"/>
  <c r="D6" i="1"/>
  <c r="B6" i="1"/>
  <c r="F5" i="1"/>
  <c r="E5" i="1"/>
  <c r="D5" i="1"/>
  <c r="G5" i="1" s="1"/>
  <c r="B5" i="1"/>
  <c r="F4" i="1"/>
  <c r="E4" i="1"/>
  <c r="D4" i="1"/>
  <c r="H4" i="1" s="1"/>
  <c r="B4" i="1"/>
  <c r="F3" i="1"/>
  <c r="E3" i="1"/>
  <c r="D3" i="1"/>
  <c r="H3" i="1" s="1"/>
  <c r="B3" i="1"/>
  <c r="F2" i="1"/>
  <c r="E2" i="1"/>
  <c r="D2" i="1"/>
  <c r="B2" i="1"/>
  <c r="G34" i="1" l="1"/>
  <c r="H34" i="1"/>
  <c r="G38" i="1"/>
  <c r="H38" i="1"/>
  <c r="H75" i="1"/>
  <c r="G6" i="1"/>
  <c r="H6" i="1"/>
  <c r="H30" i="1"/>
  <c r="G66" i="1"/>
  <c r="H66" i="1"/>
  <c r="G70" i="1"/>
  <c r="H70" i="1"/>
  <c r="G98" i="1"/>
  <c r="H98" i="1"/>
  <c r="H13" i="1"/>
  <c r="G130" i="1"/>
  <c r="H130" i="1"/>
  <c r="G162" i="1"/>
  <c r="H162" i="1"/>
  <c r="H2" i="1"/>
  <c r="G79" i="1"/>
  <c r="H81" i="1"/>
  <c r="H107" i="1"/>
  <c r="H143" i="1"/>
  <c r="H87" i="1"/>
  <c r="H102" i="1"/>
  <c r="H219" i="1"/>
  <c r="G230" i="1"/>
  <c r="H239" i="1"/>
  <c r="G247" i="1"/>
  <c r="H247" i="1"/>
  <c r="H259" i="1"/>
  <c r="H277" i="1"/>
  <c r="G409" i="1"/>
  <c r="H409" i="1"/>
  <c r="H424" i="1"/>
  <c r="G424" i="1"/>
  <c r="G444" i="1"/>
  <c r="H444" i="1"/>
  <c r="H617" i="1"/>
  <c r="G617" i="1"/>
  <c r="H621" i="1"/>
  <c r="G621" i="1"/>
  <c r="H851" i="1"/>
  <c r="G851" i="1"/>
  <c r="H901" i="1"/>
  <c r="G901" i="1"/>
  <c r="H184" i="1"/>
  <c r="H55" i="1"/>
  <c r="H59" i="1"/>
  <c r="H74" i="1"/>
  <c r="H106" i="1"/>
  <c r="H123" i="1"/>
  <c r="H127" i="1"/>
  <c r="H138" i="1"/>
  <c r="H159" i="1"/>
  <c r="H170" i="1"/>
  <c r="H198" i="1"/>
  <c r="H218" i="1"/>
  <c r="H238" i="1"/>
  <c r="G238" i="1"/>
  <c r="H261" i="1"/>
  <c r="H281" i="1"/>
  <c r="H290" i="1"/>
  <c r="H301" i="1"/>
  <c r="H325" i="1"/>
  <c r="H334" i="1"/>
  <c r="H405" i="1"/>
  <c r="H482" i="1"/>
  <c r="G592" i="1"/>
  <c r="H592" i="1"/>
  <c r="H25" i="1"/>
  <c r="H134" i="1"/>
  <c r="H166" i="1"/>
  <c r="H10" i="1"/>
  <c r="H24" i="1"/>
  <c r="H33" i="1"/>
  <c r="H39" i="1"/>
  <c r="H41" i="1"/>
  <c r="H56" i="1"/>
  <c r="H63" i="1"/>
  <c r="H73" i="1"/>
  <c r="H88" i="1"/>
  <c r="H95" i="1"/>
  <c r="H105" i="1"/>
  <c r="H120" i="1"/>
  <c r="H131" i="1"/>
  <c r="H137" i="1"/>
  <c r="H152" i="1"/>
  <c r="H163" i="1"/>
  <c r="H169" i="1"/>
  <c r="H180" i="1"/>
  <c r="H182" i="1"/>
  <c r="H191" i="1"/>
  <c r="H196" i="1"/>
  <c r="H211" i="1"/>
  <c r="H242" i="1"/>
  <c r="H283" i="1"/>
  <c r="H294" i="1"/>
  <c r="H303" i="1"/>
  <c r="H314" i="1"/>
  <c r="H324" i="1"/>
  <c r="G366" i="1"/>
  <c r="G377" i="1"/>
  <c r="H377" i="1"/>
  <c r="G398" i="1"/>
  <c r="H402" i="1"/>
  <c r="G402" i="1"/>
  <c r="G456" i="1"/>
  <c r="H456" i="1"/>
  <c r="G458" i="1"/>
  <c r="H458" i="1"/>
  <c r="H481" i="1"/>
  <c r="G481" i="1"/>
  <c r="H505" i="1"/>
  <c r="H529" i="1"/>
  <c r="G529" i="1"/>
  <c r="H567" i="1"/>
  <c r="H575" i="1"/>
  <c r="G604" i="1"/>
  <c r="H615" i="1"/>
  <c r="H837" i="1"/>
  <c r="G837" i="1"/>
  <c r="H885" i="1"/>
  <c r="G885" i="1"/>
  <c r="H29" i="1"/>
  <c r="H42" i="1"/>
  <c r="H91" i="1"/>
  <c r="H7" i="1"/>
  <c r="H5" i="1"/>
  <c r="H11" i="1"/>
  <c r="G13" i="1"/>
  <c r="H18" i="1"/>
  <c r="H28" i="1"/>
  <c r="G30" i="1"/>
  <c r="H37" i="1"/>
  <c r="H43" i="1"/>
  <c r="H45" i="1"/>
  <c r="H50" i="1"/>
  <c r="H60" i="1"/>
  <c r="G62" i="1"/>
  <c r="H67" i="1"/>
  <c r="G75" i="1"/>
  <c r="H77" i="1"/>
  <c r="H82" i="1"/>
  <c r="H92" i="1"/>
  <c r="G94" i="1"/>
  <c r="H99" i="1"/>
  <c r="G107" i="1"/>
  <c r="H109" i="1"/>
  <c r="H114" i="1"/>
  <c r="H124" i="1"/>
  <c r="G126" i="1"/>
  <c r="H135" i="1"/>
  <c r="G139" i="1"/>
  <c r="H141" i="1"/>
  <c r="H146" i="1"/>
  <c r="H156" i="1"/>
  <c r="G158" i="1"/>
  <c r="H167" i="1"/>
  <c r="G171" i="1"/>
  <c r="G173" i="1"/>
  <c r="H175" i="1"/>
  <c r="H176" i="1"/>
  <c r="H178" i="1"/>
  <c r="G195" i="1"/>
  <c r="H204" i="1"/>
  <c r="H206" i="1"/>
  <c r="G215" i="1"/>
  <c r="H215" i="1"/>
  <c r="H222" i="1"/>
  <c r="H226" i="1"/>
  <c r="H236" i="1"/>
  <c r="H249" i="1"/>
  <c r="G255" i="1"/>
  <c r="G262" i="1"/>
  <c r="G264" i="1"/>
  <c r="H267" i="1"/>
  <c r="G273" i="1"/>
  <c r="G282" i="1"/>
  <c r="G291" i="1"/>
  <c r="G293" i="1"/>
  <c r="G302" i="1"/>
  <c r="G313" i="1"/>
  <c r="G326" i="1"/>
  <c r="G337" i="1"/>
  <c r="H338" i="1"/>
  <c r="H349" i="1"/>
  <c r="H360" i="1"/>
  <c r="H382" i="1"/>
  <c r="H388" i="1"/>
  <c r="H393" i="1"/>
  <c r="G397" i="1"/>
  <c r="H397" i="1"/>
  <c r="H433" i="1"/>
  <c r="H437" i="1"/>
  <c r="G437" i="1"/>
  <c r="H452" i="1"/>
  <c r="H468" i="1"/>
  <c r="H513" i="1"/>
  <c r="H552" i="1"/>
  <c r="H631" i="1"/>
  <c r="H633" i="1"/>
  <c r="G633" i="1"/>
  <c r="H637" i="1"/>
  <c r="G637" i="1"/>
  <c r="H749" i="1"/>
  <c r="H832" i="1"/>
  <c r="G832" i="1"/>
  <c r="H883" i="1"/>
  <c r="G883" i="1"/>
  <c r="H1012" i="1"/>
  <c r="G1012" i="1"/>
  <c r="H1066" i="1"/>
  <c r="G1066" i="1"/>
  <c r="G346" i="1"/>
  <c r="H346" i="1"/>
  <c r="H597" i="1"/>
  <c r="G597" i="1"/>
  <c r="G608" i="1"/>
  <c r="H608" i="1"/>
  <c r="H635" i="1"/>
  <c r="G635" i="1"/>
  <c r="G825" i="1"/>
  <c r="H825" i="1"/>
  <c r="H933" i="1"/>
  <c r="G933" i="1"/>
  <c r="H1010" i="1"/>
  <c r="G1010" i="1"/>
  <c r="H1061" i="1"/>
  <c r="G1061" i="1"/>
  <c r="H246" i="1"/>
  <c r="H302" i="1"/>
  <c r="G330" i="1"/>
  <c r="H330" i="1"/>
  <c r="G385" i="1"/>
  <c r="H385" i="1"/>
  <c r="H447" i="1"/>
  <c r="G447" i="1"/>
  <c r="G449" i="1"/>
  <c r="H449" i="1"/>
  <c r="H508" i="1"/>
  <c r="H512" i="1"/>
  <c r="G564" i="1"/>
  <c r="H564" i="1"/>
  <c r="G568" i="1"/>
  <c r="H601" i="1"/>
  <c r="G601" i="1"/>
  <c r="H620" i="1"/>
  <c r="H647" i="1"/>
  <c r="G649" i="1"/>
  <c r="H658" i="1"/>
  <c r="H666" i="1"/>
  <c r="G666" i="1"/>
  <c r="H737" i="1"/>
  <c r="G744" i="1"/>
  <c r="H744" i="1"/>
  <c r="H869" i="1"/>
  <c r="G869" i="1"/>
  <c r="H79" i="1"/>
  <c r="H111" i="1"/>
  <c r="H121" i="1"/>
  <c r="H136" i="1"/>
  <c r="H147" i="1"/>
  <c r="H153" i="1"/>
  <c r="H168" i="1"/>
  <c r="H179" i="1"/>
  <c r="H190" i="1"/>
  <c r="H192" i="1"/>
  <c r="H223" i="1"/>
  <c r="G279" i="1"/>
  <c r="H279" i="1"/>
  <c r="H317" i="1"/>
  <c r="H378" i="1"/>
  <c r="H917" i="1"/>
  <c r="G917" i="1"/>
  <c r="H990" i="1"/>
  <c r="G990" i="1"/>
  <c r="H1049" i="1"/>
  <c r="G1049" i="1"/>
  <c r="H17" i="1"/>
  <c r="G14" i="1"/>
  <c r="H21" i="1"/>
  <c r="H27" i="1"/>
  <c r="G29" i="1"/>
  <c r="H44" i="1"/>
  <c r="G46" i="1"/>
  <c r="H51" i="1"/>
  <c r="G59" i="1"/>
  <c r="H61" i="1"/>
  <c r="H76" i="1"/>
  <c r="G78" i="1"/>
  <c r="H83" i="1"/>
  <c r="G91" i="1"/>
  <c r="H93" i="1"/>
  <c r="H108" i="1"/>
  <c r="G110" i="1"/>
  <c r="H115" i="1"/>
  <c r="G123" i="1"/>
  <c r="H125" i="1"/>
  <c r="H140" i="1"/>
  <c r="G142" i="1"/>
  <c r="H151" i="1"/>
  <c r="G155" i="1"/>
  <c r="H157" i="1"/>
  <c r="H172" i="1"/>
  <c r="H174" i="1"/>
  <c r="G183" i="1"/>
  <c r="H188" i="1"/>
  <c r="H194" i="1"/>
  <c r="H201" i="1"/>
  <c r="G203" i="1"/>
  <c r="G205" i="1"/>
  <c r="H207" i="1"/>
  <c r="H208" i="1"/>
  <c r="H210" i="1"/>
  <c r="G216" i="1"/>
  <c r="G225" i="1"/>
  <c r="H227" i="1"/>
  <c r="G232" i="1"/>
  <c r="H241" i="1"/>
  <c r="G245" i="1"/>
  <c r="G254" i="1"/>
  <c r="H257" i="1"/>
  <c r="G263" i="1"/>
  <c r="H263" i="1"/>
  <c r="G265" i="1"/>
  <c r="G272" i="1"/>
  <c r="H275" i="1"/>
  <c r="H286" i="1"/>
  <c r="H295" i="1"/>
  <c r="H306" i="1"/>
  <c r="H321" i="1"/>
  <c r="G354" i="1"/>
  <c r="H357" i="1"/>
  <c r="G361" i="1"/>
  <c r="G373" i="1"/>
  <c r="G410" i="1"/>
  <c r="H420" i="1"/>
  <c r="H425" i="1"/>
  <c r="G445" i="1"/>
  <c r="G461" i="1"/>
  <c r="G463" i="1"/>
  <c r="H463" i="1"/>
  <c r="H465" i="1"/>
  <c r="G465" i="1"/>
  <c r="H476" i="1"/>
  <c r="H499" i="1"/>
  <c r="G503" i="1"/>
  <c r="H503" i="1"/>
  <c r="H524" i="1"/>
  <c r="H528" i="1"/>
  <c r="H541" i="1"/>
  <c r="H549" i="1"/>
  <c r="G584" i="1"/>
  <c r="H584" i="1"/>
  <c r="G588" i="1"/>
  <c r="G611" i="1"/>
  <c r="H613" i="1"/>
  <c r="H638" i="1"/>
  <c r="G682" i="1"/>
  <c r="H684" i="1"/>
  <c r="G684" i="1"/>
  <c r="H726" i="1"/>
  <c r="H822" i="1"/>
  <c r="G822" i="1"/>
  <c r="H853" i="1"/>
  <c r="G853" i="1"/>
  <c r="H985" i="1"/>
  <c r="G985" i="1"/>
  <c r="H400" i="1"/>
  <c r="G417" i="1"/>
  <c r="H440" i="1"/>
  <c r="H457" i="1"/>
  <c r="H459" i="1"/>
  <c r="H471" i="1"/>
  <c r="H473" i="1"/>
  <c r="G494" i="1"/>
  <c r="G496" i="1"/>
  <c r="H501" i="1"/>
  <c r="G506" i="1"/>
  <c r="H532" i="1"/>
  <c r="G536" i="1"/>
  <c r="H539" i="1"/>
  <c r="G549" i="1"/>
  <c r="G560" i="1"/>
  <c r="H571" i="1"/>
  <c r="H577" i="1"/>
  <c r="G579" i="1"/>
  <c r="H590" i="1"/>
  <c r="H595" i="1"/>
  <c r="G599" i="1"/>
  <c r="H606" i="1"/>
  <c r="H611" i="1"/>
  <c r="H624" i="1"/>
  <c r="H626" i="1"/>
  <c r="H640" i="1"/>
  <c r="H642" i="1"/>
  <c r="H651" i="1"/>
  <c r="G653" i="1"/>
  <c r="G655" i="1"/>
  <c r="H662" i="1"/>
  <c r="H686" i="1"/>
  <c r="G688" i="1"/>
  <c r="G695" i="1"/>
  <c r="G697" i="1"/>
  <c r="H699" i="1"/>
  <c r="H786" i="1"/>
  <c r="H798" i="1"/>
  <c r="H802" i="1"/>
  <c r="H811" i="1"/>
  <c r="G820" i="1"/>
  <c r="H846" i="1"/>
  <c r="H878" i="1"/>
  <c r="H978" i="1"/>
  <c r="G992" i="1"/>
  <c r="H994" i="1"/>
  <c r="G1005" i="1"/>
  <c r="H1026" i="1"/>
  <c r="G1047" i="1"/>
  <c r="G1076" i="1"/>
  <c r="H1081" i="1"/>
  <c r="H1093" i="1"/>
  <c r="H751" i="1"/>
  <c r="H1054" i="1"/>
  <c r="G1086" i="1"/>
  <c r="H579" i="1"/>
  <c r="H599" i="1"/>
  <c r="H619" i="1"/>
  <c r="H628" i="1"/>
  <c r="H644" i="1"/>
  <c r="H655" i="1"/>
  <c r="H668" i="1"/>
  <c r="H690" i="1"/>
  <c r="G1098" i="1"/>
  <c r="G1110" i="1"/>
  <c r="H372" i="1"/>
  <c r="G389" i="1"/>
  <c r="G390" i="1"/>
  <c r="H404" i="1"/>
  <c r="H417" i="1"/>
  <c r="G421" i="1"/>
  <c r="G422" i="1"/>
  <c r="G429" i="1"/>
  <c r="G440" i="1"/>
  <c r="H454" i="1"/>
  <c r="H479" i="1"/>
  <c r="G572" i="1"/>
  <c r="H583" i="1"/>
  <c r="G596" i="1"/>
  <c r="H612" i="1"/>
  <c r="H639" i="1"/>
  <c r="H436" i="1"/>
  <c r="H540" i="1"/>
  <c r="H555" i="1"/>
  <c r="H561" i="1"/>
  <c r="H578" i="1"/>
  <c r="H587" i="1"/>
  <c r="H598" i="1"/>
  <c r="H603" i="1"/>
  <c r="H618" i="1"/>
  <c r="H623" i="1"/>
  <c r="H634" i="1"/>
  <c r="H654" i="1"/>
  <c r="G659" i="1"/>
  <c r="H667" i="1"/>
  <c r="H670" i="1"/>
  <c r="H685" i="1"/>
  <c r="H687" i="1"/>
  <c r="H696" i="1"/>
  <c r="H700" i="1"/>
  <c r="H707" i="1"/>
  <c r="H715" i="1"/>
  <c r="H735" i="1"/>
  <c r="G210" i="1"/>
  <c r="H212" i="1"/>
  <c r="H214" i="1"/>
  <c r="G228" i="1"/>
  <c r="G235" i="1"/>
  <c r="G253" i="1"/>
  <c r="G260" i="1"/>
  <c r="G269" i="1"/>
  <c r="G276" i="1"/>
  <c r="G285" i="1"/>
  <c r="G294" i="1"/>
  <c r="G305" i="1"/>
  <c r="H310" i="1"/>
  <c r="G318" i="1"/>
  <c r="G329" i="1"/>
  <c r="G345" i="1"/>
  <c r="G381" i="1"/>
  <c r="G413" i="1"/>
  <c r="H439" i="1"/>
  <c r="H441" i="1"/>
  <c r="H455" i="1"/>
  <c r="G478" i="1"/>
  <c r="G480" i="1"/>
  <c r="H497" i="1"/>
  <c r="G507" i="1"/>
  <c r="H509" i="1"/>
  <c r="G511" i="1"/>
  <c r="G528" i="1"/>
  <c r="G552" i="1"/>
  <c r="H565" i="1"/>
  <c r="G567" i="1"/>
  <c r="H582" i="1"/>
  <c r="H593" i="1"/>
  <c r="H609" i="1"/>
  <c r="H627" i="1"/>
  <c r="H629" i="1"/>
  <c r="H643" i="1"/>
  <c r="G689" i="1"/>
  <c r="G691" i="1"/>
  <c r="H711" i="1"/>
  <c r="G717" i="1"/>
  <c r="H719" i="1"/>
  <c r="G737" i="1"/>
  <c r="G742" i="1"/>
  <c r="H807" i="1"/>
  <c r="H809" i="1"/>
  <c r="H849" i="1"/>
  <c r="H865" i="1"/>
  <c r="H881" i="1"/>
  <c r="H976" i="1"/>
  <c r="H981" i="1"/>
  <c r="H988" i="1"/>
  <c r="H1043" i="1"/>
  <c r="H1045" i="1"/>
  <c r="H1067" i="1"/>
  <c r="H1084" i="1"/>
  <c r="H1099" i="1"/>
  <c r="H678" i="1"/>
  <c r="H680" i="1"/>
  <c r="H706" i="1"/>
  <c r="G708" i="1"/>
  <c r="G721" i="1"/>
  <c r="G723" i="1"/>
  <c r="H728" i="1"/>
  <c r="G749" i="1"/>
  <c r="H754" i="1"/>
  <c r="G768" i="1"/>
  <c r="G770" i="1"/>
  <c r="H794" i="1"/>
  <c r="H800" i="1"/>
  <c r="H842" i="1"/>
  <c r="H860" i="1"/>
  <c r="H867" i="1"/>
  <c r="H874" i="1"/>
  <c r="H876" i="1"/>
  <c r="H899" i="1"/>
  <c r="H908" i="1"/>
  <c r="H915" i="1"/>
  <c r="H924" i="1"/>
  <c r="H931" i="1"/>
  <c r="H940" i="1"/>
  <c r="H947" i="1"/>
  <c r="H956" i="1"/>
  <c r="H1017" i="1"/>
  <c r="H1022" i="1"/>
  <c r="H1033" i="1"/>
  <c r="H1038" i="1"/>
  <c r="H1064" i="1"/>
  <c r="H1069" i="1"/>
  <c r="H1079" i="1"/>
  <c r="H1096" i="1"/>
  <c r="H1101" i="1"/>
  <c r="H288" i="1"/>
  <c r="G288" i="1"/>
  <c r="H315" i="1"/>
  <c r="G315" i="1"/>
  <c r="H331" i="1"/>
  <c r="G331" i="1"/>
  <c r="H347" i="1"/>
  <c r="G347" i="1"/>
  <c r="H371" i="1"/>
  <c r="G371" i="1"/>
  <c r="H403" i="1"/>
  <c r="G403" i="1"/>
  <c r="G492" i="1"/>
  <c r="H492" i="1"/>
  <c r="H558" i="1"/>
  <c r="G558" i="1"/>
  <c r="G41" i="1"/>
  <c r="G45" i="1"/>
  <c r="G49" i="1"/>
  <c r="G53" i="1"/>
  <c r="G57" i="1"/>
  <c r="G61" i="1"/>
  <c r="G65" i="1"/>
  <c r="G69" i="1"/>
  <c r="G73" i="1"/>
  <c r="G77" i="1"/>
  <c r="G81" i="1"/>
  <c r="G85" i="1"/>
  <c r="G89" i="1"/>
  <c r="G93" i="1"/>
  <c r="G97" i="1"/>
  <c r="G101" i="1"/>
  <c r="G105" i="1"/>
  <c r="G109" i="1"/>
  <c r="G113" i="1"/>
  <c r="G117" i="1"/>
  <c r="G121" i="1"/>
  <c r="G125" i="1"/>
  <c r="G129" i="1"/>
  <c r="G133" i="1"/>
  <c r="G137" i="1"/>
  <c r="G141" i="1"/>
  <c r="G145" i="1"/>
  <c r="G149" i="1"/>
  <c r="G153" i="1"/>
  <c r="G157" i="1"/>
  <c r="G161" i="1"/>
  <c r="G165" i="1"/>
  <c r="G169" i="1"/>
  <c r="H173" i="1"/>
  <c r="G180" i="1"/>
  <c r="G187" i="1"/>
  <c r="G193" i="1"/>
  <c r="G194" i="1"/>
  <c r="H205" i="1"/>
  <c r="G212" i="1"/>
  <c r="H225" i="1"/>
  <c r="G233" i="1"/>
  <c r="G234" i="1"/>
  <c r="H237" i="1"/>
  <c r="H240" i="1"/>
  <c r="H243" i="1"/>
  <c r="H254" i="1"/>
  <c r="H262" i="1"/>
  <c r="H270" i="1"/>
  <c r="H278" i="1"/>
  <c r="H291" i="1"/>
  <c r="H300" i="1"/>
  <c r="G300" i="1"/>
  <c r="H313" i="1"/>
  <c r="H368" i="1"/>
  <c r="H383" i="1"/>
  <c r="G383" i="1"/>
  <c r="H415" i="1"/>
  <c r="G415" i="1"/>
  <c r="H435" i="1"/>
  <c r="G435" i="1"/>
  <c r="H461" i="1"/>
  <c r="H475" i="1"/>
  <c r="G189" i="1"/>
  <c r="G217" i="1"/>
  <c r="G218" i="1"/>
  <c r="H312" i="1"/>
  <c r="G312" i="1"/>
  <c r="H319" i="1"/>
  <c r="G319" i="1"/>
  <c r="H328" i="1"/>
  <c r="H335" i="1"/>
  <c r="G335" i="1"/>
  <c r="H344" i="1"/>
  <c r="H351" i="1"/>
  <c r="G351" i="1"/>
  <c r="H363" i="1"/>
  <c r="G363" i="1"/>
  <c r="H380" i="1"/>
  <c r="H395" i="1"/>
  <c r="G395" i="1"/>
  <c r="H412" i="1"/>
  <c r="H432" i="1"/>
  <c r="G551" i="1"/>
  <c r="H551" i="1"/>
  <c r="G4" i="1"/>
  <c r="G8" i="1"/>
  <c r="G12" i="1"/>
  <c r="G16" i="1"/>
  <c r="G20" i="1"/>
  <c r="G24" i="1"/>
  <c r="G28" i="1"/>
  <c r="G32" i="1"/>
  <c r="G36" i="1"/>
  <c r="G40" i="1"/>
  <c r="G44" i="1"/>
  <c r="G48" i="1"/>
  <c r="G52" i="1"/>
  <c r="G56" i="1"/>
  <c r="G60" i="1"/>
  <c r="G64" i="1"/>
  <c r="G68" i="1"/>
  <c r="G72" i="1"/>
  <c r="G76" i="1"/>
  <c r="G80" i="1"/>
  <c r="G84" i="1"/>
  <c r="G88" i="1"/>
  <c r="G92" i="1"/>
  <c r="G96" i="1"/>
  <c r="G100" i="1"/>
  <c r="G104" i="1"/>
  <c r="G108" i="1"/>
  <c r="G112" i="1"/>
  <c r="G116" i="1"/>
  <c r="G120" i="1"/>
  <c r="G124" i="1"/>
  <c r="G128" i="1"/>
  <c r="G132" i="1"/>
  <c r="G136" i="1"/>
  <c r="G140" i="1"/>
  <c r="G144" i="1"/>
  <c r="G148" i="1"/>
  <c r="G152" i="1"/>
  <c r="G156" i="1"/>
  <c r="G160" i="1"/>
  <c r="G164" i="1"/>
  <c r="G168" i="1"/>
  <c r="G172" i="1"/>
  <c r="G179" i="1"/>
  <c r="G185" i="1"/>
  <c r="G186" i="1"/>
  <c r="H197" i="1"/>
  <c r="G204" i="1"/>
  <c r="G211" i="1"/>
  <c r="H221" i="1"/>
  <c r="G241" i="1"/>
  <c r="G242" i="1"/>
  <c r="H245" i="1"/>
  <c r="H248" i="1"/>
  <c r="H256" i="1"/>
  <c r="H264" i="1"/>
  <c r="H272" i="1"/>
  <c r="H280" i="1"/>
  <c r="H292" i="1"/>
  <c r="G292" i="1"/>
  <c r="H305" i="1"/>
  <c r="H375" i="1"/>
  <c r="G375" i="1"/>
  <c r="H407" i="1"/>
  <c r="G407" i="1"/>
  <c r="H427" i="1"/>
  <c r="G427" i="1"/>
  <c r="G498" i="1"/>
  <c r="H498" i="1"/>
  <c r="H304" i="1"/>
  <c r="G304" i="1"/>
  <c r="H316" i="1"/>
  <c r="G316" i="1"/>
  <c r="H323" i="1"/>
  <c r="G323" i="1"/>
  <c r="H339" i="1"/>
  <c r="G339" i="1"/>
  <c r="H355" i="1"/>
  <c r="G355" i="1"/>
  <c r="H387" i="1"/>
  <c r="G387" i="1"/>
  <c r="H419" i="1"/>
  <c r="G419" i="1"/>
  <c r="H467" i="1"/>
  <c r="G467" i="1"/>
  <c r="H489" i="1"/>
  <c r="G489" i="1"/>
  <c r="G3" i="1"/>
  <c r="G7" i="1"/>
  <c r="G11" i="1"/>
  <c r="G15" i="1"/>
  <c r="G19" i="1"/>
  <c r="G23" i="1"/>
  <c r="G27" i="1"/>
  <c r="G31" i="1"/>
  <c r="G35" i="1"/>
  <c r="G39" i="1"/>
  <c r="G43" i="1"/>
  <c r="G47" i="1"/>
  <c r="G177" i="1"/>
  <c r="H189" i="1"/>
  <c r="G209" i="1"/>
  <c r="H217" i="1"/>
  <c r="H250" i="1"/>
  <c r="H258" i="1"/>
  <c r="H266" i="1"/>
  <c r="H274" i="1"/>
  <c r="H282" i="1"/>
  <c r="H297" i="1"/>
  <c r="H307" i="1"/>
  <c r="H367" i="1"/>
  <c r="G367" i="1"/>
  <c r="H384" i="1"/>
  <c r="H399" i="1"/>
  <c r="G399" i="1"/>
  <c r="H416" i="1"/>
  <c r="G439" i="1"/>
  <c r="H460" i="1"/>
  <c r="G460" i="1"/>
  <c r="G495" i="1"/>
  <c r="H495" i="1"/>
  <c r="G174" i="1"/>
  <c r="H185" i="1"/>
  <c r="G192" i="1"/>
  <c r="G199" i="1"/>
  <c r="G206" i="1"/>
  <c r="H220" i="1"/>
  <c r="G223" i="1"/>
  <c r="G226" i="1"/>
  <c r="H296" i="1"/>
  <c r="G296" i="1"/>
  <c r="H320" i="1"/>
  <c r="G320" i="1"/>
  <c r="H327" i="1"/>
  <c r="G327" i="1"/>
  <c r="H336" i="1"/>
  <c r="H343" i="1"/>
  <c r="G343" i="1"/>
  <c r="H352" i="1"/>
  <c r="H364" i="1"/>
  <c r="H379" i="1"/>
  <c r="G379" i="1"/>
  <c r="H396" i="1"/>
  <c r="H411" i="1"/>
  <c r="G411" i="1"/>
  <c r="H431" i="1"/>
  <c r="G431" i="1"/>
  <c r="H443" i="1"/>
  <c r="G446" i="1"/>
  <c r="H446" i="1"/>
  <c r="H453" i="1"/>
  <c r="G453" i="1"/>
  <c r="H181" i="1"/>
  <c r="G201" i="1"/>
  <c r="H213" i="1"/>
  <c r="H229" i="1"/>
  <c r="H232" i="1"/>
  <c r="H235" i="1"/>
  <c r="H252" i="1"/>
  <c r="H260" i="1"/>
  <c r="H268" i="1"/>
  <c r="H276" i="1"/>
  <c r="H284" i="1"/>
  <c r="H289" i="1"/>
  <c r="H299" i="1"/>
  <c r="H308" i="1"/>
  <c r="G308" i="1"/>
  <c r="H359" i="1"/>
  <c r="G359" i="1"/>
  <c r="H376" i="1"/>
  <c r="H391" i="1"/>
  <c r="G391" i="1"/>
  <c r="H408" i="1"/>
  <c r="H423" i="1"/>
  <c r="G423" i="1"/>
  <c r="H428" i="1"/>
  <c r="G464" i="1"/>
  <c r="H504" i="1"/>
  <c r="G324" i="1"/>
  <c r="G328" i="1"/>
  <c r="G332" i="1"/>
  <c r="G336" i="1"/>
  <c r="G340" i="1"/>
  <c r="G344" i="1"/>
  <c r="G348" i="1"/>
  <c r="G352" i="1"/>
  <c r="G356" i="1"/>
  <c r="G360" i="1"/>
  <c r="G364" i="1"/>
  <c r="G368" i="1"/>
  <c r="G372" i="1"/>
  <c r="G376" i="1"/>
  <c r="G380" i="1"/>
  <c r="G384" i="1"/>
  <c r="G388" i="1"/>
  <c r="G392" i="1"/>
  <c r="G396" i="1"/>
  <c r="G400" i="1"/>
  <c r="G404" i="1"/>
  <c r="G408" i="1"/>
  <c r="G412" i="1"/>
  <c r="G416" i="1"/>
  <c r="G420" i="1"/>
  <c r="H546" i="1"/>
  <c r="G546" i="1"/>
  <c r="H562" i="1"/>
  <c r="G562" i="1"/>
  <c r="G438" i="1"/>
  <c r="G470" i="1"/>
  <c r="H478" i="1"/>
  <c r="G500" i="1"/>
  <c r="G501" i="1"/>
  <c r="H507" i="1"/>
  <c r="H515" i="1"/>
  <c r="H523" i="1"/>
  <c r="H531" i="1"/>
  <c r="H553" i="1"/>
  <c r="G553" i="1"/>
  <c r="H566" i="1"/>
  <c r="G566" i="1"/>
  <c r="H514" i="1"/>
  <c r="G514" i="1"/>
  <c r="H522" i="1"/>
  <c r="G522" i="1"/>
  <c r="H530" i="1"/>
  <c r="G530" i="1"/>
  <c r="H538" i="1"/>
  <c r="G538" i="1"/>
  <c r="H570" i="1"/>
  <c r="G570" i="1"/>
  <c r="H442" i="1"/>
  <c r="G462" i="1"/>
  <c r="H474" i="1"/>
  <c r="G476" i="1"/>
  <c r="G477" i="1"/>
  <c r="H480" i="1"/>
  <c r="H483" i="1"/>
  <c r="H486" i="1"/>
  <c r="G508" i="1"/>
  <c r="G509" i="1"/>
  <c r="G516" i="1"/>
  <c r="G517" i="1"/>
  <c r="G524" i="1"/>
  <c r="G525" i="1"/>
  <c r="G533" i="1"/>
  <c r="H550" i="1"/>
  <c r="G550" i="1"/>
  <c r="H557" i="1"/>
  <c r="G557" i="1"/>
  <c r="H543" i="1"/>
  <c r="G441" i="1"/>
  <c r="G448" i="1"/>
  <c r="G455" i="1"/>
  <c r="H466" i="1"/>
  <c r="G473" i="1"/>
  <c r="G484" i="1"/>
  <c r="G485" i="1"/>
  <c r="H488" i="1"/>
  <c r="H491" i="1"/>
  <c r="H494" i="1"/>
  <c r="H511" i="1"/>
  <c r="H519" i="1"/>
  <c r="H527" i="1"/>
  <c r="H542" i="1"/>
  <c r="G542" i="1"/>
  <c r="H554" i="1"/>
  <c r="G554" i="1"/>
  <c r="G450" i="1"/>
  <c r="G504" i="1"/>
  <c r="H510" i="1"/>
  <c r="G510" i="1"/>
  <c r="H518" i="1"/>
  <c r="G518" i="1"/>
  <c r="H526" i="1"/>
  <c r="G526" i="1"/>
  <c r="H534" i="1"/>
  <c r="G534" i="1"/>
  <c r="H545" i="1"/>
  <c r="G645" i="1"/>
  <c r="G646" i="1"/>
  <c r="G664" i="1"/>
  <c r="G671" i="1"/>
  <c r="G677" i="1"/>
  <c r="G678" i="1"/>
  <c r="H689" i="1"/>
  <c r="G694" i="1"/>
  <c r="H705" i="1"/>
  <c r="G710" i="1"/>
  <c r="H721" i="1"/>
  <c r="G726" i="1"/>
  <c r="G774" i="1"/>
  <c r="H785" i="1"/>
  <c r="G786" i="1"/>
  <c r="H788" i="1"/>
  <c r="G811" i="1"/>
  <c r="H816" i="1"/>
  <c r="G816" i="1"/>
  <c r="H863" i="1"/>
  <c r="G863" i="1"/>
  <c r="G574" i="1"/>
  <c r="G578" i="1"/>
  <c r="G582" i="1"/>
  <c r="G586" i="1"/>
  <c r="G590" i="1"/>
  <c r="G594" i="1"/>
  <c r="G598" i="1"/>
  <c r="G602" i="1"/>
  <c r="G606" i="1"/>
  <c r="G610" i="1"/>
  <c r="G614" i="1"/>
  <c r="G618" i="1"/>
  <c r="G622" i="1"/>
  <c r="G626" i="1"/>
  <c r="G630" i="1"/>
  <c r="G634" i="1"/>
  <c r="G638" i="1"/>
  <c r="G642" i="1"/>
  <c r="H653" i="1"/>
  <c r="G660" i="1"/>
  <c r="G667" i="1"/>
  <c r="G674" i="1"/>
  <c r="H698" i="1"/>
  <c r="H714" i="1"/>
  <c r="H730" i="1"/>
  <c r="G763" i="1"/>
  <c r="H766" i="1"/>
  <c r="H769" i="1"/>
  <c r="H772" i="1"/>
  <c r="G799" i="1"/>
  <c r="G800" i="1"/>
  <c r="H810" i="1"/>
  <c r="H649" i="1"/>
  <c r="G669" i="1"/>
  <c r="H681" i="1"/>
  <c r="G690" i="1"/>
  <c r="H701" i="1"/>
  <c r="G706" i="1"/>
  <c r="H717" i="1"/>
  <c r="G722" i="1"/>
  <c r="H733" i="1"/>
  <c r="G738" i="1"/>
  <c r="G739" i="1"/>
  <c r="G750" i="1"/>
  <c r="H824" i="1"/>
  <c r="G824" i="1"/>
  <c r="H855" i="1"/>
  <c r="G855" i="1"/>
  <c r="H887" i="1"/>
  <c r="G887" i="1"/>
  <c r="H894" i="1"/>
  <c r="G894" i="1"/>
  <c r="H903" i="1"/>
  <c r="G903" i="1"/>
  <c r="H919" i="1"/>
  <c r="G919" i="1"/>
  <c r="H935" i="1"/>
  <c r="G935" i="1"/>
  <c r="H951" i="1"/>
  <c r="G951" i="1"/>
  <c r="G561" i="1"/>
  <c r="G565" i="1"/>
  <c r="G569" i="1"/>
  <c r="G573" i="1"/>
  <c r="G577" i="1"/>
  <c r="G581" i="1"/>
  <c r="G585" i="1"/>
  <c r="H742" i="1"/>
  <c r="H745" i="1"/>
  <c r="G771" i="1"/>
  <c r="H776" i="1"/>
  <c r="G776" i="1"/>
  <c r="G794" i="1"/>
  <c r="H829" i="1"/>
  <c r="G829" i="1"/>
  <c r="H900" i="1"/>
  <c r="G661" i="1"/>
  <c r="H673" i="1"/>
  <c r="G680" i="1"/>
  <c r="G687" i="1"/>
  <c r="H697" i="1"/>
  <c r="G700" i="1"/>
  <c r="G702" i="1"/>
  <c r="G703" i="1"/>
  <c r="H713" i="1"/>
  <c r="G716" i="1"/>
  <c r="G718" i="1"/>
  <c r="G719" i="1"/>
  <c r="H729" i="1"/>
  <c r="G732" i="1"/>
  <c r="G734" i="1"/>
  <c r="G735" i="1"/>
  <c r="G758" i="1"/>
  <c r="G759" i="1"/>
  <c r="H762" i="1"/>
  <c r="H765" i="1"/>
  <c r="H768" i="1"/>
  <c r="G779" i="1"/>
  <c r="H784" i="1"/>
  <c r="G784" i="1"/>
  <c r="H791" i="1"/>
  <c r="H799" i="1"/>
  <c r="G807" i="1"/>
  <c r="H817" i="1"/>
  <c r="G818" i="1"/>
  <c r="H820" i="1"/>
  <c r="G821" i="1"/>
  <c r="G827" i="1"/>
  <c r="G835" i="1"/>
  <c r="H844" i="1"/>
  <c r="H847" i="1"/>
  <c r="G847" i="1"/>
  <c r="H879" i="1"/>
  <c r="G879" i="1"/>
  <c r="G612" i="1"/>
  <c r="G616" i="1"/>
  <c r="G620" i="1"/>
  <c r="G624" i="1"/>
  <c r="G628" i="1"/>
  <c r="G632" i="1"/>
  <c r="G636" i="1"/>
  <c r="G640" i="1"/>
  <c r="G644" i="1"/>
  <c r="G651" i="1"/>
  <c r="G657" i="1"/>
  <c r="G658" i="1"/>
  <c r="G683" i="1"/>
  <c r="H738" i="1"/>
  <c r="G746" i="1"/>
  <c r="H750" i="1"/>
  <c r="H753" i="1"/>
  <c r="H756" i="1"/>
  <c r="H778" i="1"/>
  <c r="H795" i="1"/>
  <c r="H803" i="1"/>
  <c r="G842" i="1"/>
  <c r="G862" i="1"/>
  <c r="G874" i="1"/>
  <c r="G647" i="1"/>
  <c r="G654" i="1"/>
  <c r="H665" i="1"/>
  <c r="G672" i="1"/>
  <c r="G679" i="1"/>
  <c r="G685" i="1"/>
  <c r="G686" i="1"/>
  <c r="H693" i="1"/>
  <c r="G696" i="1"/>
  <c r="G699" i="1"/>
  <c r="H709" i="1"/>
  <c r="G712" i="1"/>
  <c r="H792" i="1"/>
  <c r="G792" i="1"/>
  <c r="H839" i="1"/>
  <c r="G839" i="1"/>
  <c r="H871" i="1"/>
  <c r="G871" i="1"/>
  <c r="H895" i="1"/>
  <c r="G895" i="1"/>
  <c r="H902" i="1"/>
  <c r="G902" i="1"/>
  <c r="H911" i="1"/>
  <c r="G911" i="1"/>
  <c r="H927" i="1"/>
  <c r="G927" i="1"/>
  <c r="H943" i="1"/>
  <c r="G943" i="1"/>
  <c r="G754" i="1"/>
  <c r="H758" i="1"/>
  <c r="H761" i="1"/>
  <c r="H777" i="1"/>
  <c r="H808" i="1"/>
  <c r="G808" i="1"/>
  <c r="H833" i="1"/>
  <c r="G854" i="1"/>
  <c r="G866" i="1"/>
  <c r="G886" i="1"/>
  <c r="H892" i="1"/>
  <c r="H780" i="1"/>
  <c r="H812" i="1"/>
  <c r="G959" i="1"/>
  <c r="H968" i="1"/>
  <c r="H971" i="1"/>
  <c r="G971" i="1"/>
  <c r="H973" i="1"/>
  <c r="H1000" i="1"/>
  <c r="H1003" i="1"/>
  <c r="G1003" i="1"/>
  <c r="H1005" i="1"/>
  <c r="H1032" i="1"/>
  <c r="H1035" i="1"/>
  <c r="G1035" i="1"/>
  <c r="H983" i="1"/>
  <c r="G983" i="1"/>
  <c r="H1015" i="1"/>
  <c r="G1015" i="1"/>
  <c r="H804" i="1"/>
  <c r="H840" i="1"/>
  <c r="H848" i="1"/>
  <c r="H856" i="1"/>
  <c r="H864" i="1"/>
  <c r="H872" i="1"/>
  <c r="H880" i="1"/>
  <c r="H888" i="1"/>
  <c r="H896" i="1"/>
  <c r="H904" i="1"/>
  <c r="H912" i="1"/>
  <c r="H920" i="1"/>
  <c r="H928" i="1"/>
  <c r="H936" i="1"/>
  <c r="H944" i="1"/>
  <c r="H952" i="1"/>
  <c r="H960" i="1"/>
  <c r="H963" i="1"/>
  <c r="G963" i="1"/>
  <c r="H965" i="1"/>
  <c r="H992" i="1"/>
  <c r="H995" i="1"/>
  <c r="G995" i="1"/>
  <c r="H997" i="1"/>
  <c r="H1024" i="1"/>
  <c r="H1027" i="1"/>
  <c r="G1027" i="1"/>
  <c r="G910" i="1"/>
  <c r="G918" i="1"/>
  <c r="G926" i="1"/>
  <c r="G934" i="1"/>
  <c r="G942" i="1"/>
  <c r="H949" i="1"/>
  <c r="G950" i="1"/>
  <c r="H957" i="1"/>
  <c r="G958" i="1"/>
  <c r="H972" i="1"/>
  <c r="H975" i="1"/>
  <c r="G975" i="1"/>
  <c r="H977" i="1"/>
  <c r="H1004" i="1"/>
  <c r="H1007" i="1"/>
  <c r="G1007" i="1"/>
  <c r="H1009" i="1"/>
  <c r="H1036" i="1"/>
  <c r="H1039" i="1"/>
  <c r="G1039" i="1"/>
  <c r="H796" i="1"/>
  <c r="H828" i="1"/>
  <c r="H834" i="1"/>
  <c r="H984" i="1"/>
  <c r="H987" i="1"/>
  <c r="G987" i="1"/>
  <c r="H989" i="1"/>
  <c r="H1016" i="1"/>
  <c r="H1019" i="1"/>
  <c r="G1019" i="1"/>
  <c r="H1048" i="1"/>
  <c r="H964" i="1"/>
  <c r="H967" i="1"/>
  <c r="G967" i="1"/>
  <c r="H969" i="1"/>
  <c r="H996" i="1"/>
  <c r="H999" i="1"/>
  <c r="G999" i="1"/>
  <c r="H1001" i="1"/>
  <c r="H1028" i="1"/>
  <c r="H1031" i="1"/>
  <c r="G1031" i="1"/>
  <c r="H979" i="1"/>
  <c r="G979" i="1"/>
  <c r="H1011" i="1"/>
  <c r="G1011" i="1"/>
  <c r="H1040" i="1"/>
  <c r="H991" i="1"/>
  <c r="G991" i="1"/>
  <c r="H1023" i="1"/>
  <c r="G1023" i="1"/>
  <c r="H1052" i="1"/>
  <c r="G1104" i="1"/>
  <c r="G1108" i="1"/>
  <c r="G1112" i="1"/>
  <c r="G1055" i="1"/>
  <c r="G1059" i="1"/>
  <c r="G1063" i="1"/>
  <c r="G1067" i="1"/>
  <c r="G1071" i="1"/>
  <c r="G1075" i="1"/>
  <c r="G1079" i="1"/>
  <c r="G1083" i="1"/>
  <c r="G1087" i="1"/>
  <c r="G1091" i="1"/>
  <c r="G1095" i="1"/>
  <c r="G1099" i="1"/>
  <c r="G1103" i="1"/>
  <c r="G1107" i="1"/>
  <c r="G1111" i="1"/>
  <c r="G1109" i="1"/>
  <c r="G11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Cota</author>
    <author>FREELAN08</author>
  </authors>
  <commentList>
    <comment ref="A144" authorId="0" shapeId="0" xr:uid="{FA617E97-9233-4C2A-B97C-D73AAE9DC3EC}">
      <text>
        <r>
          <rPr>
            <b/>
            <sz val="8"/>
            <color indexed="81"/>
            <rFont val="Tahoma"/>
            <family val="2"/>
          </rPr>
          <t>Cota:</t>
        </r>
        <r>
          <rPr>
            <sz val="8"/>
            <color indexed="81"/>
            <rFont val="Tahoma"/>
            <family val="2"/>
          </rPr>
          <t xml:space="preserve">
nota de conalvias </t>
        </r>
      </text>
    </comment>
    <comment ref="A265" authorId="0" shapeId="0" xr:uid="{62F6EF7F-9F18-4216-9B80-268989A8DB22}">
      <text>
        <r>
          <rPr>
            <b/>
            <sz val="8"/>
            <color indexed="81"/>
            <rFont val="Tahoma"/>
            <family val="2"/>
          </rPr>
          <t>Cota:</t>
        </r>
        <r>
          <rPr>
            <sz val="8"/>
            <color indexed="81"/>
            <rFont val="Tahoma"/>
            <family val="2"/>
          </rPr>
          <t xml:space="preserve">
nota de rafferty leon de vangoh 
</t>
        </r>
      </text>
    </comment>
    <comment ref="A266" authorId="0" shapeId="0" xr:uid="{5750BB84-42DC-4711-8782-12E674969E3F}">
      <text>
        <r>
          <rPr>
            <b/>
            <sz val="8"/>
            <color indexed="81"/>
            <rFont val="Tahoma"/>
            <family val="2"/>
          </rPr>
          <t>Cota:</t>
        </r>
        <r>
          <rPr>
            <sz val="8"/>
            <color indexed="81"/>
            <rFont val="Tahoma"/>
            <family val="2"/>
          </rPr>
          <t xml:space="preserve">
nota de raffety leon van goh </t>
        </r>
      </text>
    </comment>
    <comment ref="A667" authorId="0" shapeId="0" xr:uid="{8BA45268-F4FC-423A-BC96-02EEFE041F44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DEBE CUMPLIDO OSWALDO PEREZ</t>
        </r>
      </text>
    </comment>
    <comment ref="A771" authorId="0" shapeId="0" xr:uid="{796927E8-345C-4281-BCAF-0E4EE3F91B72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NOTA DE FELIX DE ALSACIA</t>
        </r>
      </text>
    </comment>
    <comment ref="A914" authorId="0" shapeId="0" xr:uid="{EE424DDE-40C1-4ACA-BD7E-9EB165DD1DD1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REMISION VIAJERADE ALMASA </t>
        </r>
      </text>
    </comment>
    <comment ref="A930" authorId="0" shapeId="0" xr:uid="{71F077B7-89BF-4B19-B975-D87B82A94807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felix </t>
        </r>
      </text>
    </comment>
    <comment ref="A954" authorId="0" shapeId="0" xr:uid="{72CD2A3B-97BB-4B44-AB75-D21A8C49BCA7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DEBE CUMPLIDO FELIX LEON </t>
        </r>
      </text>
    </comment>
    <comment ref="A955" authorId="0" shapeId="0" xr:uid="{5816D3F3-6EA4-436E-807A-DE3A086308DE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FELIX
</t>
        </r>
      </text>
    </comment>
    <comment ref="A956" authorId="0" shapeId="0" xr:uid="{A7BBFF7B-2CDD-45CE-8EFB-5EC35A3D0F95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luis e moreno </t>
        </r>
      </text>
    </comment>
    <comment ref="A957" authorId="0" shapeId="0" xr:uid="{8D2F4844-8CD7-4990-BE6B-1F325196150B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luis e moreno </t>
        </r>
      </text>
    </comment>
    <comment ref="A958" authorId="0" shapeId="0" xr:uid="{266C3858-37E8-43FC-985F-79C1C0F6D91B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luis e moreno </t>
        </r>
      </text>
    </comment>
    <comment ref="A959" authorId="0" shapeId="0" xr:uid="{4B3A580A-2D4E-40FB-8B58-7DB9DA06FAB4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oswaldo perez</t>
        </r>
      </text>
    </comment>
    <comment ref="A960" authorId="0" shapeId="0" xr:uid="{72D7325E-3F71-4B79-AECE-168259300DFE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felix </t>
        </r>
      </text>
    </comment>
    <comment ref="A961" authorId="0" shapeId="0" xr:uid="{B830A4F9-20C0-428B-9F97-D87BC67EE203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felix </t>
        </r>
      </text>
    </comment>
    <comment ref="A962" authorId="0" shapeId="0" xr:uid="{7864CE23-DBAE-46AF-9153-E0654D7C0724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saul </t>
        </r>
      </text>
    </comment>
    <comment ref="A963" authorId="0" shapeId="0" xr:uid="{B6BEC573-AA3B-4907-898E-1C0FF6B1E5BB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carlos yepes</t>
        </r>
      </text>
    </comment>
    <comment ref="A964" authorId="0" shapeId="0" xr:uid="{CCA10F9A-6612-44E0-A48F-DAD71ACA7171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debe cumplido de osvaldo perez </t>
        </r>
      </text>
    </comment>
    <comment ref="A1003" authorId="0" shapeId="0" xr:uid="{9B23DF8A-57FA-48D5-8DD6-D4885513DEA4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NOTA DE MANUEL BECERRA
</t>
        </r>
      </text>
    </comment>
    <comment ref="A1004" authorId="0" shapeId="0" xr:uid="{3F69EB1F-43B3-459D-8C01-7734A11F3348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manuel becerra</t>
        </r>
      </text>
    </comment>
    <comment ref="A1005" authorId="0" shapeId="0" xr:uid="{54732883-42D5-4554-BEFE-925858444107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mnaul becerra </t>
        </r>
      </text>
    </comment>
    <comment ref="A1007" authorId="0" shapeId="0" xr:uid="{5DD941F1-3BF5-49CC-B32C-B3C73454AD04}">
      <text>
        <r>
          <rPr>
            <b/>
            <sz val="9"/>
            <color indexed="81"/>
            <rFont val="Tahoma"/>
            <family val="2"/>
          </rPr>
          <t>Cota:</t>
        </r>
        <r>
          <rPr>
            <sz val="9"/>
            <color indexed="81"/>
            <rFont val="Tahoma"/>
            <family val="2"/>
          </rPr>
          <t xml:space="preserve">
falta cumplido de manuel becera</t>
        </r>
      </text>
    </comment>
    <comment ref="A1010" authorId="1" shapeId="0" xr:uid="{09DC6F6A-0203-4A22-98FA-D77D648A9C70}">
      <text>
        <r>
          <rPr>
            <b/>
            <sz val="9"/>
            <color indexed="81"/>
            <rFont val="Tahoma"/>
            <family val="2"/>
          </rPr>
          <t>FREELAN08:</t>
        </r>
        <r>
          <rPr>
            <sz val="9"/>
            <color indexed="81"/>
            <rFont val="Tahoma"/>
            <family val="2"/>
          </rPr>
          <t xml:space="preserve">
falta remision de felix </t>
        </r>
      </text>
    </comment>
  </commentList>
</comments>
</file>

<file path=xl/sharedStrings.xml><?xml version="1.0" encoding="utf-8"?>
<sst xmlns="http://schemas.openxmlformats.org/spreadsheetml/2006/main" count="10" uniqueCount="10">
  <si>
    <t xml:space="preserve">Nº REMISION </t>
  </si>
  <si>
    <t>FECHA</t>
  </si>
  <si>
    <t>R_j</t>
  </si>
  <si>
    <t>KG_Fig</t>
  </si>
  <si>
    <t>KG_mallas</t>
  </si>
  <si>
    <t>KG_mp</t>
  </si>
  <si>
    <t xml:space="preserve">p_j </t>
  </si>
  <si>
    <t>Cant tipos</t>
  </si>
  <si>
    <t xml:space="preserve">pj fig </t>
  </si>
  <si>
    <t>pj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</si>
</sst>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ti\Downloads\DatosTaller1.xlsx" TargetMode="External"/><Relationship Id="rId1" Type="http://schemas.openxmlformats.org/officeDocument/2006/relationships/externalLinkPath" Target="/Users/carti/Downloads/DatosTall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rden para Literal A (diario)"/>
      <sheetName val="A DIAS"/>
      <sheetName val="Orden para Literal A (semana)"/>
    </sheetNames>
    <sheetDataSet>
      <sheetData sheetId="0">
        <row r="1">
          <cell r="A1" t="str">
            <v xml:space="preserve">Nº REMISION </v>
          </cell>
          <cell r="B1" t="str">
            <v>FECHA</v>
          </cell>
          <cell r="D1" t="str">
            <v>KILOS</v>
          </cell>
          <cell r="E1" t="str">
            <v>Tipo</v>
          </cell>
        </row>
        <row r="2">
          <cell r="A2">
            <v>1000016974</v>
          </cell>
          <cell r="B2">
            <v>40546</v>
          </cell>
          <cell r="D2">
            <v>57.4</v>
          </cell>
          <cell r="E2" t="str">
            <v>Figurado</v>
          </cell>
        </row>
        <row r="3">
          <cell r="A3">
            <v>1000016974</v>
          </cell>
          <cell r="B3">
            <v>40546</v>
          </cell>
          <cell r="D3">
            <v>3804.5</v>
          </cell>
          <cell r="E3" t="str">
            <v>Figurado</v>
          </cell>
        </row>
        <row r="4">
          <cell r="A4">
            <v>1000016974</v>
          </cell>
          <cell r="B4">
            <v>40546</v>
          </cell>
          <cell r="D4">
            <v>3302.4</v>
          </cell>
          <cell r="E4" t="str">
            <v>Figurado</v>
          </cell>
        </row>
        <row r="5">
          <cell r="A5">
            <v>1000016974</v>
          </cell>
          <cell r="B5">
            <v>40546</v>
          </cell>
          <cell r="D5">
            <v>1881.6</v>
          </cell>
          <cell r="E5" t="str">
            <v>Figurado</v>
          </cell>
        </row>
        <row r="6">
          <cell r="A6">
            <v>1000016975</v>
          </cell>
          <cell r="B6">
            <v>40546</v>
          </cell>
          <cell r="D6">
            <v>648</v>
          </cell>
          <cell r="E6" t="str">
            <v>Materia Prima</v>
          </cell>
        </row>
        <row r="7">
          <cell r="A7">
            <v>1000016975</v>
          </cell>
          <cell r="B7">
            <v>40546</v>
          </cell>
          <cell r="D7">
            <v>1175</v>
          </cell>
          <cell r="E7" t="str">
            <v>Materia Prima</v>
          </cell>
        </row>
        <row r="8">
          <cell r="A8">
            <v>1000016978</v>
          </cell>
          <cell r="B8">
            <v>40546</v>
          </cell>
          <cell r="D8">
            <v>1419.9</v>
          </cell>
          <cell r="E8" t="str">
            <v>Figurado</v>
          </cell>
        </row>
        <row r="9">
          <cell r="A9">
            <v>1000016978</v>
          </cell>
          <cell r="B9">
            <v>40546</v>
          </cell>
          <cell r="D9">
            <v>337</v>
          </cell>
          <cell r="E9" t="str">
            <v>Figurado</v>
          </cell>
        </row>
        <row r="10">
          <cell r="A10">
            <v>1000016978</v>
          </cell>
          <cell r="B10">
            <v>40546</v>
          </cell>
          <cell r="D10">
            <v>913.5</v>
          </cell>
          <cell r="E10" t="str">
            <v>Figurado</v>
          </cell>
        </row>
        <row r="11">
          <cell r="A11">
            <v>1000016978</v>
          </cell>
          <cell r="B11">
            <v>40546</v>
          </cell>
          <cell r="D11">
            <v>621.20000000000005</v>
          </cell>
          <cell r="E11" t="str">
            <v>Figurado</v>
          </cell>
        </row>
        <row r="12">
          <cell r="A12">
            <v>1000016979</v>
          </cell>
          <cell r="B12">
            <v>40546</v>
          </cell>
          <cell r="D12">
            <v>1442.9</v>
          </cell>
          <cell r="E12" t="str">
            <v>Figurado</v>
          </cell>
        </row>
        <row r="13">
          <cell r="A13">
            <v>1000016979</v>
          </cell>
          <cell r="B13">
            <v>40546</v>
          </cell>
          <cell r="D13">
            <v>180</v>
          </cell>
          <cell r="E13" t="str">
            <v>Figurado</v>
          </cell>
        </row>
        <row r="14">
          <cell r="A14">
            <v>1000016979</v>
          </cell>
          <cell r="B14">
            <v>40546</v>
          </cell>
          <cell r="D14">
            <v>1390.9</v>
          </cell>
          <cell r="E14" t="str">
            <v>Figurado</v>
          </cell>
        </row>
        <row r="15">
          <cell r="A15">
            <v>1000016979</v>
          </cell>
          <cell r="B15">
            <v>40546</v>
          </cell>
          <cell r="D15">
            <v>1701.5</v>
          </cell>
          <cell r="E15" t="str">
            <v>Figurado</v>
          </cell>
        </row>
        <row r="16">
          <cell r="A16">
            <v>1000016979</v>
          </cell>
          <cell r="B16">
            <v>40546</v>
          </cell>
          <cell r="D16">
            <v>1695.3</v>
          </cell>
          <cell r="E16" t="str">
            <v>Figurado</v>
          </cell>
        </row>
        <row r="17">
          <cell r="A17">
            <v>1000016981</v>
          </cell>
          <cell r="B17">
            <v>40546</v>
          </cell>
          <cell r="D17">
            <v>268.8</v>
          </cell>
          <cell r="E17" t="str">
            <v>Figurado</v>
          </cell>
        </row>
        <row r="18">
          <cell r="A18">
            <v>1000016981</v>
          </cell>
          <cell r="B18">
            <v>40546</v>
          </cell>
          <cell r="D18">
            <v>1032</v>
          </cell>
          <cell r="E18" t="str">
            <v>Figurado</v>
          </cell>
        </row>
        <row r="19">
          <cell r="A19">
            <v>1000016981</v>
          </cell>
          <cell r="B19">
            <v>40546</v>
          </cell>
          <cell r="D19">
            <v>954.7</v>
          </cell>
          <cell r="E19" t="str">
            <v>Figurado</v>
          </cell>
        </row>
        <row r="20">
          <cell r="A20">
            <v>1000016982</v>
          </cell>
          <cell r="B20">
            <v>40546</v>
          </cell>
          <cell r="D20">
            <v>108</v>
          </cell>
          <cell r="E20" t="str">
            <v>Materia Prima</v>
          </cell>
        </row>
        <row r="21">
          <cell r="A21">
            <v>1000016982</v>
          </cell>
          <cell r="B21">
            <v>40546</v>
          </cell>
          <cell r="D21">
            <v>394</v>
          </cell>
          <cell r="E21" t="str">
            <v>Figurado</v>
          </cell>
        </row>
        <row r="22">
          <cell r="A22">
            <v>1000016983</v>
          </cell>
          <cell r="B22">
            <v>40546</v>
          </cell>
          <cell r="D22">
            <v>690</v>
          </cell>
          <cell r="E22" t="str">
            <v>Mallas</v>
          </cell>
        </row>
        <row r="23">
          <cell r="A23">
            <v>1000016984</v>
          </cell>
          <cell r="B23">
            <v>40546</v>
          </cell>
          <cell r="D23">
            <v>690</v>
          </cell>
          <cell r="E23" t="str">
            <v>Mallas</v>
          </cell>
        </row>
        <row r="24">
          <cell r="A24">
            <v>1000016985</v>
          </cell>
          <cell r="B24">
            <v>40546</v>
          </cell>
          <cell r="D24">
            <v>736</v>
          </cell>
          <cell r="E24" t="str">
            <v>Mallas</v>
          </cell>
        </row>
        <row r="25">
          <cell r="A25">
            <v>1000016985</v>
          </cell>
          <cell r="B25">
            <v>40546</v>
          </cell>
          <cell r="D25">
            <v>1203.8399999999999</v>
          </cell>
          <cell r="E25" t="str">
            <v>Mallas</v>
          </cell>
        </row>
        <row r="26">
          <cell r="A26">
            <v>1000016986</v>
          </cell>
          <cell r="B26">
            <v>40546</v>
          </cell>
          <cell r="D26">
            <v>27.2</v>
          </cell>
          <cell r="E26" t="str">
            <v>Figurado</v>
          </cell>
        </row>
        <row r="27">
          <cell r="A27">
            <v>1000016986</v>
          </cell>
          <cell r="B27">
            <v>40546</v>
          </cell>
          <cell r="D27">
            <v>23.2</v>
          </cell>
          <cell r="E27" t="str">
            <v>Figurado</v>
          </cell>
        </row>
        <row r="28">
          <cell r="A28">
            <v>1000016986</v>
          </cell>
          <cell r="B28">
            <v>40546</v>
          </cell>
          <cell r="D28">
            <v>258.89999999999998</v>
          </cell>
          <cell r="E28" t="str">
            <v>Figurado</v>
          </cell>
        </row>
        <row r="29">
          <cell r="A29">
            <v>1000016986</v>
          </cell>
          <cell r="B29">
            <v>40546</v>
          </cell>
          <cell r="D29">
            <v>10.8</v>
          </cell>
          <cell r="E29" t="str">
            <v>Figurado</v>
          </cell>
        </row>
        <row r="30">
          <cell r="A30">
            <v>1000016987</v>
          </cell>
          <cell r="B30">
            <v>40546</v>
          </cell>
          <cell r="D30">
            <v>337.44</v>
          </cell>
          <cell r="E30" t="str">
            <v>Mallas</v>
          </cell>
        </row>
        <row r="31">
          <cell r="A31">
            <v>1000016988</v>
          </cell>
          <cell r="B31">
            <v>40546</v>
          </cell>
          <cell r="D31">
            <v>337.44</v>
          </cell>
          <cell r="E31" t="str">
            <v>Mallas</v>
          </cell>
        </row>
        <row r="32">
          <cell r="A32">
            <v>1000016989</v>
          </cell>
          <cell r="B32">
            <v>40546</v>
          </cell>
          <cell r="D32">
            <v>100</v>
          </cell>
          <cell r="E32" t="str">
            <v>Materia Prima</v>
          </cell>
        </row>
        <row r="33">
          <cell r="A33">
            <v>1000016989</v>
          </cell>
          <cell r="B33">
            <v>40546</v>
          </cell>
          <cell r="D33">
            <v>617.5</v>
          </cell>
          <cell r="E33" t="str">
            <v>Mallas</v>
          </cell>
        </row>
        <row r="34">
          <cell r="A34">
            <v>1000016989</v>
          </cell>
          <cell r="B34">
            <v>40546</v>
          </cell>
          <cell r="D34">
            <v>1096.68</v>
          </cell>
          <cell r="E34" t="str">
            <v>Mallas</v>
          </cell>
        </row>
        <row r="35">
          <cell r="A35">
            <v>1000016990</v>
          </cell>
          <cell r="B35">
            <v>40546</v>
          </cell>
          <cell r="D35">
            <v>250</v>
          </cell>
          <cell r="E35" t="str">
            <v>Materia Prima</v>
          </cell>
        </row>
        <row r="36">
          <cell r="A36">
            <v>1000016991</v>
          </cell>
          <cell r="B36">
            <v>40546</v>
          </cell>
          <cell r="D36">
            <v>322.60000000000002</v>
          </cell>
          <cell r="E36" t="str">
            <v>Materia Prima</v>
          </cell>
        </row>
        <row r="37">
          <cell r="A37">
            <v>1000016991</v>
          </cell>
          <cell r="B37">
            <v>40546</v>
          </cell>
          <cell r="D37">
            <v>810</v>
          </cell>
          <cell r="E37" t="str">
            <v>Figurado</v>
          </cell>
        </row>
        <row r="38">
          <cell r="A38">
            <v>1000016991</v>
          </cell>
          <cell r="B38">
            <v>40546</v>
          </cell>
          <cell r="D38">
            <v>1791.9</v>
          </cell>
          <cell r="E38" t="str">
            <v>Figurado</v>
          </cell>
        </row>
        <row r="39">
          <cell r="A39">
            <v>1000016992</v>
          </cell>
          <cell r="B39">
            <v>40546</v>
          </cell>
          <cell r="D39">
            <v>360</v>
          </cell>
          <cell r="E39" t="str">
            <v>Materia Prima</v>
          </cell>
        </row>
        <row r="40">
          <cell r="A40">
            <v>1000016993</v>
          </cell>
          <cell r="B40">
            <v>40546</v>
          </cell>
          <cell r="D40">
            <v>9059</v>
          </cell>
          <cell r="E40" t="str">
            <v>Mallas</v>
          </cell>
        </row>
        <row r="41">
          <cell r="A41">
            <v>1000016994</v>
          </cell>
          <cell r="B41">
            <v>40546</v>
          </cell>
          <cell r="D41">
            <v>681.4</v>
          </cell>
          <cell r="E41" t="str">
            <v>Figurado</v>
          </cell>
        </row>
        <row r="42">
          <cell r="A42">
            <v>1000016994</v>
          </cell>
          <cell r="B42">
            <v>40546</v>
          </cell>
          <cell r="D42">
            <v>293.60000000000002</v>
          </cell>
          <cell r="E42" t="str">
            <v>Figurado</v>
          </cell>
        </row>
        <row r="43">
          <cell r="A43">
            <v>1000016994</v>
          </cell>
          <cell r="B43">
            <v>40546</v>
          </cell>
          <cell r="D43">
            <v>8742.4</v>
          </cell>
          <cell r="E43" t="str">
            <v>Figurado</v>
          </cell>
        </row>
        <row r="44">
          <cell r="A44">
            <v>1000016996</v>
          </cell>
          <cell r="B44">
            <v>40546</v>
          </cell>
          <cell r="D44">
            <v>112</v>
          </cell>
          <cell r="E44" t="str">
            <v>Figurado</v>
          </cell>
        </row>
        <row r="45">
          <cell r="A45">
            <v>1000016997</v>
          </cell>
          <cell r="B45">
            <v>40546</v>
          </cell>
          <cell r="D45">
            <v>1241.4000000000001</v>
          </cell>
          <cell r="E45" t="str">
            <v>Figurado</v>
          </cell>
        </row>
        <row r="46">
          <cell r="A46">
            <v>1000016997</v>
          </cell>
          <cell r="B46">
            <v>40546</v>
          </cell>
          <cell r="D46">
            <v>596.70000000000005</v>
          </cell>
          <cell r="E46" t="str">
            <v>Figurado</v>
          </cell>
        </row>
        <row r="47">
          <cell r="A47">
            <v>1000016997</v>
          </cell>
          <cell r="B47">
            <v>40546</v>
          </cell>
          <cell r="D47">
            <v>2736.9</v>
          </cell>
          <cell r="E47" t="str">
            <v>Figurado</v>
          </cell>
        </row>
        <row r="48">
          <cell r="A48">
            <v>1000016997</v>
          </cell>
          <cell r="B48">
            <v>40546</v>
          </cell>
          <cell r="D48">
            <v>5672.6</v>
          </cell>
          <cell r="E48" t="str">
            <v>Figurado</v>
          </cell>
        </row>
        <row r="49">
          <cell r="A49">
            <v>1000016997</v>
          </cell>
          <cell r="B49">
            <v>40546</v>
          </cell>
          <cell r="D49">
            <v>917.6</v>
          </cell>
          <cell r="E49" t="str">
            <v>Figurado</v>
          </cell>
        </row>
        <row r="50">
          <cell r="A50">
            <v>1000016999</v>
          </cell>
          <cell r="B50">
            <v>40546</v>
          </cell>
          <cell r="D50">
            <v>2499.8000000000002</v>
          </cell>
          <cell r="E50" t="str">
            <v>Materia Prima</v>
          </cell>
        </row>
        <row r="51">
          <cell r="A51">
            <v>1000016999</v>
          </cell>
          <cell r="B51">
            <v>40546</v>
          </cell>
          <cell r="D51">
            <v>120</v>
          </cell>
          <cell r="E51" t="str">
            <v>Materia Prima</v>
          </cell>
        </row>
        <row r="52">
          <cell r="A52">
            <v>1000016999</v>
          </cell>
          <cell r="B52">
            <v>40546</v>
          </cell>
          <cell r="D52">
            <v>1821.7</v>
          </cell>
          <cell r="E52" t="str">
            <v>Figurado</v>
          </cell>
        </row>
        <row r="53">
          <cell r="A53">
            <v>1000016999</v>
          </cell>
          <cell r="B53">
            <v>40546</v>
          </cell>
          <cell r="D53">
            <v>637.9</v>
          </cell>
          <cell r="E53" t="str">
            <v>Figurado</v>
          </cell>
        </row>
        <row r="54">
          <cell r="A54">
            <v>1000016999</v>
          </cell>
          <cell r="B54">
            <v>40546</v>
          </cell>
          <cell r="D54">
            <v>1717.2</v>
          </cell>
          <cell r="E54" t="str">
            <v>Figurado</v>
          </cell>
        </row>
        <row r="55">
          <cell r="A55">
            <v>1000016999</v>
          </cell>
          <cell r="B55">
            <v>40546</v>
          </cell>
          <cell r="D55">
            <v>1511.6</v>
          </cell>
          <cell r="E55" t="str">
            <v>Figurado</v>
          </cell>
        </row>
        <row r="56">
          <cell r="A56">
            <v>1000016999</v>
          </cell>
          <cell r="B56">
            <v>40546</v>
          </cell>
          <cell r="D56">
            <v>1682.4</v>
          </cell>
          <cell r="E56" t="str">
            <v>Figurado</v>
          </cell>
        </row>
        <row r="57">
          <cell r="A57">
            <v>1000016999</v>
          </cell>
          <cell r="B57">
            <v>40546</v>
          </cell>
          <cell r="D57">
            <v>740.6</v>
          </cell>
          <cell r="E57" t="str">
            <v>Figurado</v>
          </cell>
        </row>
        <row r="58">
          <cell r="A58">
            <v>1000017001</v>
          </cell>
          <cell r="B58">
            <v>40546</v>
          </cell>
          <cell r="D58">
            <v>3787.08</v>
          </cell>
          <cell r="E58" t="str">
            <v>Mallas</v>
          </cell>
        </row>
        <row r="59">
          <cell r="A59">
            <v>1000017002</v>
          </cell>
          <cell r="B59">
            <v>40546</v>
          </cell>
          <cell r="D59">
            <v>3787.08</v>
          </cell>
          <cell r="E59" t="str">
            <v>Mallas</v>
          </cell>
        </row>
        <row r="60">
          <cell r="A60">
            <v>1000017003</v>
          </cell>
          <cell r="B60">
            <v>40546</v>
          </cell>
          <cell r="D60">
            <v>3787.08</v>
          </cell>
          <cell r="E60" t="str">
            <v>Mallas</v>
          </cell>
        </row>
        <row r="61">
          <cell r="A61">
            <v>1000017004</v>
          </cell>
          <cell r="B61">
            <v>40547</v>
          </cell>
          <cell r="D61">
            <v>3937.5</v>
          </cell>
          <cell r="E61" t="str">
            <v>Figurado</v>
          </cell>
        </row>
        <row r="62">
          <cell r="A62">
            <v>1000017004</v>
          </cell>
          <cell r="B62">
            <v>40547</v>
          </cell>
          <cell r="D62">
            <v>2330.8000000000002</v>
          </cell>
          <cell r="E62" t="str">
            <v>Figurado</v>
          </cell>
        </row>
        <row r="63">
          <cell r="A63">
            <v>1000017004</v>
          </cell>
          <cell r="B63">
            <v>40547</v>
          </cell>
          <cell r="D63">
            <v>3390.7</v>
          </cell>
          <cell r="E63" t="str">
            <v>Figurado</v>
          </cell>
        </row>
        <row r="64">
          <cell r="A64">
            <v>1000017006</v>
          </cell>
          <cell r="B64">
            <v>40547</v>
          </cell>
          <cell r="D64">
            <v>10038</v>
          </cell>
          <cell r="E64" t="str">
            <v>Mallas</v>
          </cell>
        </row>
        <row r="65">
          <cell r="A65">
            <v>1000017044</v>
          </cell>
          <cell r="B65">
            <v>40547</v>
          </cell>
          <cell r="D65">
            <v>1000</v>
          </cell>
          <cell r="E65" t="str">
            <v>Materia Prima</v>
          </cell>
        </row>
        <row r="66">
          <cell r="A66">
            <v>1000016976</v>
          </cell>
          <cell r="B66">
            <v>40546</v>
          </cell>
          <cell r="D66">
            <v>309.10000000000002</v>
          </cell>
          <cell r="E66" t="str">
            <v>Materia Prima</v>
          </cell>
        </row>
        <row r="67">
          <cell r="A67">
            <v>1000016976</v>
          </cell>
          <cell r="B67">
            <v>40546</v>
          </cell>
          <cell r="D67">
            <v>1633.9</v>
          </cell>
          <cell r="E67" t="str">
            <v>Figurado</v>
          </cell>
        </row>
        <row r="68">
          <cell r="A68">
            <v>1000016976</v>
          </cell>
          <cell r="B68">
            <v>40546</v>
          </cell>
          <cell r="D68">
            <v>612.5</v>
          </cell>
          <cell r="E68" t="str">
            <v>Figurado</v>
          </cell>
        </row>
        <row r="69">
          <cell r="A69">
            <v>1000016976</v>
          </cell>
          <cell r="B69">
            <v>40546</v>
          </cell>
          <cell r="D69">
            <v>2380.6</v>
          </cell>
          <cell r="E69" t="str">
            <v>Figurado</v>
          </cell>
        </row>
        <row r="70">
          <cell r="A70">
            <v>1000016977</v>
          </cell>
          <cell r="B70">
            <v>40546</v>
          </cell>
          <cell r="D70">
            <v>309.10000000000002</v>
          </cell>
          <cell r="E70" t="str">
            <v>Materia Prima</v>
          </cell>
        </row>
        <row r="71">
          <cell r="A71">
            <v>1000016977</v>
          </cell>
          <cell r="B71">
            <v>40546</v>
          </cell>
          <cell r="D71">
            <v>1633.9</v>
          </cell>
          <cell r="E71" t="str">
            <v>Figurado</v>
          </cell>
        </row>
        <row r="72">
          <cell r="A72">
            <v>1000016977</v>
          </cell>
          <cell r="B72">
            <v>40546</v>
          </cell>
          <cell r="D72">
            <v>612.5</v>
          </cell>
          <cell r="E72" t="str">
            <v>Figurado</v>
          </cell>
        </row>
        <row r="73">
          <cell r="A73">
            <v>1000016977</v>
          </cell>
          <cell r="B73">
            <v>40546</v>
          </cell>
          <cell r="D73">
            <v>2380.6</v>
          </cell>
          <cell r="E73" t="str">
            <v>Figurado</v>
          </cell>
        </row>
        <row r="74">
          <cell r="A74">
            <v>1000017005</v>
          </cell>
          <cell r="B74">
            <v>40547</v>
          </cell>
          <cell r="D74">
            <v>2352</v>
          </cell>
          <cell r="E74" t="str">
            <v>Materia Prima</v>
          </cell>
        </row>
        <row r="75">
          <cell r="A75">
            <v>1000017007</v>
          </cell>
          <cell r="B75">
            <v>40547</v>
          </cell>
          <cell r="D75">
            <v>2861.1</v>
          </cell>
          <cell r="E75" t="str">
            <v>Figurado</v>
          </cell>
        </row>
        <row r="76">
          <cell r="A76">
            <v>1000017007</v>
          </cell>
          <cell r="B76">
            <v>40547</v>
          </cell>
          <cell r="D76">
            <v>2370.1999999999998</v>
          </cell>
          <cell r="E76" t="str">
            <v>Figurado</v>
          </cell>
        </row>
        <row r="77">
          <cell r="A77">
            <v>1000017008</v>
          </cell>
          <cell r="B77">
            <v>40547</v>
          </cell>
          <cell r="D77">
            <v>479</v>
          </cell>
          <cell r="E77" t="str">
            <v>Figurado</v>
          </cell>
        </row>
        <row r="78">
          <cell r="A78">
            <v>1000017008</v>
          </cell>
          <cell r="B78">
            <v>40547</v>
          </cell>
          <cell r="D78">
            <v>312</v>
          </cell>
          <cell r="E78" t="str">
            <v>Figurado</v>
          </cell>
        </row>
        <row r="79">
          <cell r="A79">
            <v>1000017008</v>
          </cell>
          <cell r="B79">
            <v>40547</v>
          </cell>
          <cell r="D79">
            <v>489.2</v>
          </cell>
          <cell r="E79" t="str">
            <v>Figurado</v>
          </cell>
        </row>
        <row r="80">
          <cell r="A80">
            <v>1000017009</v>
          </cell>
          <cell r="B80">
            <v>40547</v>
          </cell>
          <cell r="D80">
            <v>275.2</v>
          </cell>
          <cell r="E80" t="str">
            <v>Figurado</v>
          </cell>
        </row>
        <row r="81">
          <cell r="A81">
            <v>1000017009</v>
          </cell>
          <cell r="B81">
            <v>40547</v>
          </cell>
          <cell r="D81">
            <v>126</v>
          </cell>
          <cell r="E81" t="str">
            <v>Figurado</v>
          </cell>
        </row>
        <row r="82">
          <cell r="A82">
            <v>1000017009</v>
          </cell>
          <cell r="B82">
            <v>40547</v>
          </cell>
          <cell r="D82">
            <v>199.7</v>
          </cell>
          <cell r="E82" t="str">
            <v>Figurado</v>
          </cell>
        </row>
        <row r="83">
          <cell r="A83">
            <v>1000017010</v>
          </cell>
          <cell r="B83">
            <v>40547</v>
          </cell>
          <cell r="D83">
            <v>858.3</v>
          </cell>
          <cell r="E83" t="str">
            <v>Figurado</v>
          </cell>
        </row>
        <row r="84">
          <cell r="A84">
            <v>1000017010</v>
          </cell>
          <cell r="B84">
            <v>40547</v>
          </cell>
          <cell r="D84">
            <v>307.89999999999998</v>
          </cell>
          <cell r="E84" t="str">
            <v>Figurado</v>
          </cell>
        </row>
        <row r="85">
          <cell r="A85">
            <v>1000017010</v>
          </cell>
          <cell r="B85">
            <v>40547</v>
          </cell>
          <cell r="D85">
            <v>407.3</v>
          </cell>
          <cell r="E85" t="str">
            <v>Figurado</v>
          </cell>
        </row>
        <row r="86">
          <cell r="A86">
            <v>1000017013</v>
          </cell>
          <cell r="B86">
            <v>40547</v>
          </cell>
          <cell r="D86">
            <v>2707.1</v>
          </cell>
          <cell r="E86" t="str">
            <v>Figurado</v>
          </cell>
        </row>
        <row r="87">
          <cell r="A87">
            <v>1000017014</v>
          </cell>
          <cell r="B87">
            <v>40547</v>
          </cell>
          <cell r="D87">
            <v>144</v>
          </cell>
          <cell r="E87" t="str">
            <v>Materia Prima</v>
          </cell>
        </row>
        <row r="88">
          <cell r="A88">
            <v>1000017014</v>
          </cell>
          <cell r="B88">
            <v>40547</v>
          </cell>
          <cell r="D88">
            <v>760.6</v>
          </cell>
          <cell r="E88" t="str">
            <v>Figurado</v>
          </cell>
        </row>
        <row r="89">
          <cell r="A89">
            <v>1000017015</v>
          </cell>
          <cell r="B89">
            <v>40547</v>
          </cell>
          <cell r="D89">
            <v>1860</v>
          </cell>
          <cell r="E89" t="str">
            <v>Figurado</v>
          </cell>
        </row>
        <row r="90">
          <cell r="A90">
            <v>1000017016</v>
          </cell>
          <cell r="B90">
            <v>40547</v>
          </cell>
          <cell r="D90">
            <v>1586.6</v>
          </cell>
          <cell r="E90" t="str">
            <v>Figurado</v>
          </cell>
        </row>
        <row r="91">
          <cell r="A91">
            <v>1000017017</v>
          </cell>
          <cell r="B91">
            <v>40547</v>
          </cell>
          <cell r="D91">
            <v>1135.7</v>
          </cell>
          <cell r="E91" t="str">
            <v>Figurado</v>
          </cell>
        </row>
        <row r="92">
          <cell r="A92">
            <v>1000017018</v>
          </cell>
          <cell r="B92">
            <v>40547</v>
          </cell>
          <cell r="D92">
            <v>1707.3</v>
          </cell>
          <cell r="E92" t="str">
            <v>Figurado</v>
          </cell>
        </row>
        <row r="93">
          <cell r="A93">
            <v>1000017019</v>
          </cell>
          <cell r="B93">
            <v>40547</v>
          </cell>
          <cell r="D93">
            <v>215</v>
          </cell>
          <cell r="E93" t="str">
            <v>Materia Prima</v>
          </cell>
        </row>
        <row r="94">
          <cell r="A94">
            <v>1000017019</v>
          </cell>
          <cell r="B94">
            <v>40547</v>
          </cell>
          <cell r="D94">
            <v>337.3</v>
          </cell>
          <cell r="E94" t="str">
            <v>Figurado</v>
          </cell>
        </row>
        <row r="95">
          <cell r="A95">
            <v>1000017020</v>
          </cell>
          <cell r="B95">
            <v>40547</v>
          </cell>
          <cell r="D95">
            <v>1157.3</v>
          </cell>
          <cell r="E95" t="str">
            <v>Figurado</v>
          </cell>
        </row>
        <row r="96">
          <cell r="A96">
            <v>1000017021</v>
          </cell>
          <cell r="B96">
            <v>40547</v>
          </cell>
          <cell r="D96">
            <v>143.4</v>
          </cell>
          <cell r="E96" t="str">
            <v>Figurado</v>
          </cell>
        </row>
        <row r="97">
          <cell r="A97">
            <v>1000017022</v>
          </cell>
          <cell r="B97">
            <v>40547</v>
          </cell>
          <cell r="D97">
            <v>11.5</v>
          </cell>
          <cell r="E97" t="str">
            <v>Figurado</v>
          </cell>
        </row>
        <row r="98">
          <cell r="A98">
            <v>1000017022</v>
          </cell>
          <cell r="B98">
            <v>40547</v>
          </cell>
          <cell r="D98">
            <v>17.2</v>
          </cell>
          <cell r="E98" t="str">
            <v>Figurado</v>
          </cell>
        </row>
        <row r="99">
          <cell r="A99">
            <v>1000017023</v>
          </cell>
          <cell r="B99">
            <v>40547</v>
          </cell>
          <cell r="D99">
            <v>226.4</v>
          </cell>
          <cell r="E99" t="str">
            <v>Figurado</v>
          </cell>
        </row>
        <row r="100">
          <cell r="A100">
            <v>1000017023</v>
          </cell>
          <cell r="B100">
            <v>40547</v>
          </cell>
          <cell r="D100">
            <v>50.2</v>
          </cell>
          <cell r="E100" t="str">
            <v>Figurado</v>
          </cell>
        </row>
        <row r="101">
          <cell r="A101">
            <v>1000017024</v>
          </cell>
          <cell r="B101">
            <v>40547</v>
          </cell>
          <cell r="D101">
            <v>287.39999999999998</v>
          </cell>
          <cell r="E101" t="str">
            <v>Figurado</v>
          </cell>
        </row>
        <row r="102">
          <cell r="A102">
            <v>1000017025</v>
          </cell>
          <cell r="B102">
            <v>40547</v>
          </cell>
          <cell r="D102">
            <v>108.6</v>
          </cell>
          <cell r="E102" t="str">
            <v>Figurado</v>
          </cell>
        </row>
        <row r="103">
          <cell r="A103">
            <v>1000017025</v>
          </cell>
          <cell r="B103">
            <v>40547</v>
          </cell>
          <cell r="D103">
            <v>169.8</v>
          </cell>
          <cell r="E103" t="str">
            <v>Figurado</v>
          </cell>
        </row>
        <row r="104">
          <cell r="A104">
            <v>1000017026</v>
          </cell>
          <cell r="B104">
            <v>40547</v>
          </cell>
          <cell r="D104">
            <v>21</v>
          </cell>
          <cell r="E104" t="str">
            <v>Figurado</v>
          </cell>
        </row>
        <row r="105">
          <cell r="A105">
            <v>1000017026</v>
          </cell>
          <cell r="B105">
            <v>40547</v>
          </cell>
          <cell r="D105">
            <v>35.1</v>
          </cell>
          <cell r="E105" t="str">
            <v>Figurado</v>
          </cell>
        </row>
        <row r="106">
          <cell r="A106">
            <v>1000017026</v>
          </cell>
          <cell r="B106">
            <v>40547</v>
          </cell>
          <cell r="D106">
            <v>226.4</v>
          </cell>
          <cell r="E106" t="str">
            <v>Figurado</v>
          </cell>
        </row>
        <row r="107">
          <cell r="A107">
            <v>1000017026</v>
          </cell>
          <cell r="B107">
            <v>40547</v>
          </cell>
          <cell r="D107">
            <v>28.9</v>
          </cell>
          <cell r="E107" t="str">
            <v>Figurado</v>
          </cell>
        </row>
        <row r="108">
          <cell r="A108">
            <v>1000017026</v>
          </cell>
          <cell r="B108">
            <v>40547</v>
          </cell>
          <cell r="D108">
            <v>50.2</v>
          </cell>
          <cell r="E108" t="str">
            <v>Figurado</v>
          </cell>
        </row>
        <row r="109">
          <cell r="A109">
            <v>1000017027</v>
          </cell>
          <cell r="B109">
            <v>40547</v>
          </cell>
          <cell r="D109">
            <v>42</v>
          </cell>
          <cell r="E109" t="str">
            <v>Figurado</v>
          </cell>
        </row>
        <row r="110">
          <cell r="A110">
            <v>1000017027</v>
          </cell>
          <cell r="B110">
            <v>40547</v>
          </cell>
          <cell r="D110">
            <v>73</v>
          </cell>
          <cell r="E110" t="str">
            <v>Figurado</v>
          </cell>
        </row>
        <row r="111">
          <cell r="A111">
            <v>1000017028</v>
          </cell>
          <cell r="B111">
            <v>40547</v>
          </cell>
          <cell r="D111">
            <v>32.799999999999997</v>
          </cell>
          <cell r="E111" t="str">
            <v>Figurado</v>
          </cell>
        </row>
        <row r="112">
          <cell r="A112">
            <v>1000017029</v>
          </cell>
          <cell r="B112">
            <v>40547</v>
          </cell>
          <cell r="D112">
            <v>240.1</v>
          </cell>
          <cell r="E112" t="str">
            <v>Figurado</v>
          </cell>
        </row>
        <row r="113">
          <cell r="A113">
            <v>1000017029</v>
          </cell>
          <cell r="B113">
            <v>40547</v>
          </cell>
          <cell r="D113">
            <v>169.8</v>
          </cell>
          <cell r="E113" t="str">
            <v>Figurado</v>
          </cell>
        </row>
        <row r="114">
          <cell r="A114">
            <v>1000017030</v>
          </cell>
          <cell r="B114">
            <v>40547</v>
          </cell>
          <cell r="D114">
            <v>42.4</v>
          </cell>
          <cell r="E114" t="str">
            <v>Figurado</v>
          </cell>
        </row>
        <row r="115">
          <cell r="A115">
            <v>1000017031</v>
          </cell>
          <cell r="B115">
            <v>40547</v>
          </cell>
          <cell r="D115">
            <v>21</v>
          </cell>
          <cell r="E115" t="str">
            <v>Figurado</v>
          </cell>
        </row>
        <row r="116">
          <cell r="A116">
            <v>1000017031</v>
          </cell>
          <cell r="B116">
            <v>40547</v>
          </cell>
          <cell r="D116">
            <v>35.1</v>
          </cell>
          <cell r="E116" t="str">
            <v>Figurado</v>
          </cell>
        </row>
        <row r="117">
          <cell r="A117">
            <v>1000017031</v>
          </cell>
          <cell r="B117">
            <v>40547</v>
          </cell>
          <cell r="D117">
            <v>226.4</v>
          </cell>
          <cell r="E117" t="str">
            <v>Figurado</v>
          </cell>
        </row>
        <row r="118">
          <cell r="A118">
            <v>1000017031</v>
          </cell>
          <cell r="B118">
            <v>40547</v>
          </cell>
          <cell r="D118">
            <v>28.9</v>
          </cell>
          <cell r="E118" t="str">
            <v>Figurado</v>
          </cell>
        </row>
        <row r="119">
          <cell r="A119">
            <v>1000017031</v>
          </cell>
          <cell r="B119">
            <v>40547</v>
          </cell>
          <cell r="D119">
            <v>50.2</v>
          </cell>
          <cell r="E119" t="str">
            <v>Figurado</v>
          </cell>
        </row>
        <row r="120">
          <cell r="A120">
            <v>1000017032</v>
          </cell>
          <cell r="B120">
            <v>40547</v>
          </cell>
          <cell r="D120">
            <v>416.1</v>
          </cell>
          <cell r="E120" t="str">
            <v>Figurado</v>
          </cell>
        </row>
        <row r="121">
          <cell r="A121">
            <v>1000017033</v>
          </cell>
          <cell r="B121">
            <v>40547</v>
          </cell>
          <cell r="D121">
            <v>42</v>
          </cell>
          <cell r="E121" t="str">
            <v>Figurado</v>
          </cell>
        </row>
        <row r="122">
          <cell r="A122">
            <v>1000017033</v>
          </cell>
          <cell r="B122">
            <v>40547</v>
          </cell>
          <cell r="D122">
            <v>73</v>
          </cell>
          <cell r="E122" t="str">
            <v>Figurado</v>
          </cell>
        </row>
        <row r="123">
          <cell r="A123">
            <v>1000017034</v>
          </cell>
          <cell r="B123">
            <v>40547</v>
          </cell>
          <cell r="D123">
            <v>32.799999999999997</v>
          </cell>
          <cell r="E123" t="str">
            <v>Figurado</v>
          </cell>
        </row>
        <row r="124">
          <cell r="A124">
            <v>1000017035</v>
          </cell>
          <cell r="B124">
            <v>40547</v>
          </cell>
          <cell r="D124">
            <v>204.5</v>
          </cell>
          <cell r="E124" t="str">
            <v>Figurado</v>
          </cell>
        </row>
        <row r="125">
          <cell r="A125">
            <v>1000017036</v>
          </cell>
          <cell r="B125">
            <v>40547</v>
          </cell>
          <cell r="D125">
            <v>240.1</v>
          </cell>
          <cell r="E125" t="str">
            <v>Figurado</v>
          </cell>
        </row>
        <row r="126">
          <cell r="A126">
            <v>1000017036</v>
          </cell>
          <cell r="B126">
            <v>40547</v>
          </cell>
          <cell r="D126">
            <v>169.8</v>
          </cell>
          <cell r="E126" t="str">
            <v>Figurado</v>
          </cell>
        </row>
        <row r="127">
          <cell r="A127">
            <v>1000017038</v>
          </cell>
          <cell r="B127">
            <v>40547</v>
          </cell>
          <cell r="D127">
            <v>42.4</v>
          </cell>
          <cell r="E127" t="str">
            <v>Figurado</v>
          </cell>
        </row>
        <row r="128">
          <cell r="A128">
            <v>1000017039</v>
          </cell>
          <cell r="B128">
            <v>40547</v>
          </cell>
          <cell r="D128">
            <v>35.1</v>
          </cell>
          <cell r="E128" t="str">
            <v>Figurado</v>
          </cell>
        </row>
        <row r="129">
          <cell r="A129">
            <v>1000017039</v>
          </cell>
          <cell r="B129">
            <v>40547</v>
          </cell>
          <cell r="D129">
            <v>226.4</v>
          </cell>
          <cell r="E129" t="str">
            <v>Figurado</v>
          </cell>
        </row>
        <row r="130">
          <cell r="A130">
            <v>1000017039</v>
          </cell>
          <cell r="B130">
            <v>40547</v>
          </cell>
          <cell r="D130">
            <v>28.9</v>
          </cell>
          <cell r="E130" t="str">
            <v>Figurado</v>
          </cell>
        </row>
        <row r="131">
          <cell r="A131">
            <v>1000017039</v>
          </cell>
          <cell r="B131">
            <v>40547</v>
          </cell>
          <cell r="D131">
            <v>50.2</v>
          </cell>
          <cell r="E131" t="str">
            <v>Figurado</v>
          </cell>
        </row>
        <row r="132">
          <cell r="A132">
            <v>1000017040</v>
          </cell>
          <cell r="B132">
            <v>40547</v>
          </cell>
          <cell r="D132">
            <v>42</v>
          </cell>
          <cell r="E132" t="str">
            <v>Figurado</v>
          </cell>
        </row>
        <row r="133">
          <cell r="A133">
            <v>1000017040</v>
          </cell>
          <cell r="B133">
            <v>40547</v>
          </cell>
          <cell r="D133">
            <v>73</v>
          </cell>
          <cell r="E133" t="str">
            <v>Figurado</v>
          </cell>
        </row>
        <row r="134">
          <cell r="A134">
            <v>1000017041</v>
          </cell>
          <cell r="B134">
            <v>40547</v>
          </cell>
          <cell r="D134">
            <v>237.3</v>
          </cell>
          <cell r="E134" t="str">
            <v>Figurado</v>
          </cell>
        </row>
        <row r="135">
          <cell r="A135">
            <v>1000017042</v>
          </cell>
          <cell r="B135">
            <v>40547</v>
          </cell>
          <cell r="D135">
            <v>240.1</v>
          </cell>
          <cell r="E135" t="str">
            <v>Figurado</v>
          </cell>
        </row>
        <row r="136">
          <cell r="A136">
            <v>1000017042</v>
          </cell>
          <cell r="B136">
            <v>40547</v>
          </cell>
          <cell r="D136">
            <v>169.8</v>
          </cell>
          <cell r="E136" t="str">
            <v>Figurado</v>
          </cell>
        </row>
        <row r="137">
          <cell r="A137">
            <v>1000017043</v>
          </cell>
          <cell r="B137">
            <v>40547</v>
          </cell>
          <cell r="D137">
            <v>42.4</v>
          </cell>
          <cell r="E137" t="str">
            <v>Figurado</v>
          </cell>
        </row>
        <row r="138">
          <cell r="A138">
            <v>1000017048</v>
          </cell>
          <cell r="B138">
            <v>40547</v>
          </cell>
          <cell r="D138">
            <v>81</v>
          </cell>
          <cell r="E138" t="str">
            <v>Figurado</v>
          </cell>
        </row>
        <row r="139">
          <cell r="A139">
            <v>1000017049</v>
          </cell>
          <cell r="B139">
            <v>40547</v>
          </cell>
          <cell r="D139">
            <v>81</v>
          </cell>
          <cell r="E139" t="str">
            <v>Figurado</v>
          </cell>
        </row>
        <row r="140">
          <cell r="A140">
            <v>1000017050</v>
          </cell>
          <cell r="B140">
            <v>40547</v>
          </cell>
          <cell r="D140">
            <v>121</v>
          </cell>
          <cell r="E140" t="str">
            <v>Materia Prima</v>
          </cell>
        </row>
        <row r="141">
          <cell r="A141">
            <v>1000017050</v>
          </cell>
          <cell r="B141">
            <v>40547</v>
          </cell>
          <cell r="D141">
            <v>884.5</v>
          </cell>
          <cell r="E141" t="str">
            <v>Figurado</v>
          </cell>
        </row>
        <row r="142">
          <cell r="A142">
            <v>1000017050</v>
          </cell>
          <cell r="B142">
            <v>40547</v>
          </cell>
          <cell r="D142">
            <v>1182.7</v>
          </cell>
          <cell r="E142" t="str">
            <v>Figurado</v>
          </cell>
        </row>
        <row r="143">
          <cell r="A143">
            <v>1000017050</v>
          </cell>
          <cell r="B143">
            <v>40547</v>
          </cell>
          <cell r="D143">
            <v>322.60000000000002</v>
          </cell>
          <cell r="E143" t="str">
            <v>Figurado</v>
          </cell>
        </row>
        <row r="144">
          <cell r="A144">
            <v>1000017050</v>
          </cell>
          <cell r="B144">
            <v>40547</v>
          </cell>
          <cell r="D144">
            <v>231.3</v>
          </cell>
          <cell r="E144" t="str">
            <v>Figurado</v>
          </cell>
        </row>
        <row r="145">
          <cell r="A145">
            <v>1000017050</v>
          </cell>
          <cell r="B145">
            <v>40547</v>
          </cell>
          <cell r="D145">
            <v>41.6</v>
          </cell>
          <cell r="E145" t="str">
            <v>Figurado</v>
          </cell>
        </row>
        <row r="146">
          <cell r="A146">
            <v>1000017050</v>
          </cell>
          <cell r="B146">
            <v>40547</v>
          </cell>
          <cell r="D146">
            <v>333.6</v>
          </cell>
          <cell r="E146" t="str">
            <v>Figurado</v>
          </cell>
        </row>
        <row r="147">
          <cell r="A147">
            <v>1000017051</v>
          </cell>
          <cell r="B147">
            <v>40547</v>
          </cell>
          <cell r="D147">
            <v>1075.2</v>
          </cell>
          <cell r="E147" t="str">
            <v>Materia Prima</v>
          </cell>
        </row>
        <row r="148">
          <cell r="A148">
            <v>1000017051</v>
          </cell>
          <cell r="B148">
            <v>40547</v>
          </cell>
          <cell r="D148">
            <v>382.3</v>
          </cell>
          <cell r="E148" t="str">
            <v>Figurado</v>
          </cell>
        </row>
        <row r="149">
          <cell r="A149">
            <v>1000017051</v>
          </cell>
          <cell r="B149">
            <v>40547</v>
          </cell>
          <cell r="D149">
            <v>304</v>
          </cell>
          <cell r="E149" t="str">
            <v>Figurado</v>
          </cell>
        </row>
        <row r="150">
          <cell r="A150">
            <v>1000017052</v>
          </cell>
          <cell r="B150">
            <v>40547</v>
          </cell>
          <cell r="D150">
            <v>3525.7</v>
          </cell>
          <cell r="E150" t="str">
            <v>Figurado</v>
          </cell>
        </row>
        <row r="151">
          <cell r="A151">
            <v>1000017052</v>
          </cell>
          <cell r="B151">
            <v>40547</v>
          </cell>
          <cell r="D151">
            <v>3178.9</v>
          </cell>
          <cell r="E151" t="str">
            <v>Figurado</v>
          </cell>
        </row>
        <row r="152">
          <cell r="A152">
            <v>1000017052</v>
          </cell>
          <cell r="B152">
            <v>40547</v>
          </cell>
          <cell r="D152">
            <v>577.4</v>
          </cell>
          <cell r="E152" t="str">
            <v>Figurado</v>
          </cell>
        </row>
        <row r="153">
          <cell r="A153">
            <v>1000017052</v>
          </cell>
          <cell r="B153">
            <v>40547</v>
          </cell>
          <cell r="D153">
            <v>3056.4</v>
          </cell>
          <cell r="E153" t="str">
            <v>Figurado</v>
          </cell>
        </row>
        <row r="154">
          <cell r="A154">
            <v>1000017053</v>
          </cell>
          <cell r="B154">
            <v>40547</v>
          </cell>
          <cell r="D154">
            <v>1075.2</v>
          </cell>
          <cell r="E154" t="str">
            <v>Materia Prima</v>
          </cell>
        </row>
        <row r="155">
          <cell r="A155">
            <v>1000017053</v>
          </cell>
          <cell r="B155">
            <v>40547</v>
          </cell>
          <cell r="D155">
            <v>382.3</v>
          </cell>
          <cell r="E155" t="str">
            <v>Figurado</v>
          </cell>
        </row>
        <row r="156">
          <cell r="A156">
            <v>1000017053</v>
          </cell>
          <cell r="B156">
            <v>40547</v>
          </cell>
          <cell r="D156">
            <v>304</v>
          </cell>
          <cell r="E156" t="str">
            <v>Figurado</v>
          </cell>
        </row>
        <row r="157">
          <cell r="A157">
            <v>1000017054</v>
          </cell>
          <cell r="B157">
            <v>40547</v>
          </cell>
          <cell r="D157">
            <v>832.2</v>
          </cell>
          <cell r="E157" t="str">
            <v>Figurado</v>
          </cell>
        </row>
        <row r="158">
          <cell r="A158">
            <v>1000017054</v>
          </cell>
          <cell r="B158">
            <v>40547</v>
          </cell>
          <cell r="D158">
            <v>747.6</v>
          </cell>
          <cell r="E158" t="str">
            <v>Figurado</v>
          </cell>
        </row>
        <row r="159">
          <cell r="A159">
            <v>1000017055</v>
          </cell>
          <cell r="B159">
            <v>40548</v>
          </cell>
          <cell r="D159">
            <v>821.8</v>
          </cell>
          <cell r="E159" t="str">
            <v>Figurado</v>
          </cell>
        </row>
        <row r="160">
          <cell r="A160">
            <v>1000017055</v>
          </cell>
          <cell r="B160">
            <v>40548</v>
          </cell>
          <cell r="D160">
            <v>792</v>
          </cell>
          <cell r="E160" t="str">
            <v>Figurado</v>
          </cell>
        </row>
        <row r="161">
          <cell r="A161">
            <v>1000017056</v>
          </cell>
          <cell r="B161">
            <v>40548</v>
          </cell>
          <cell r="D161">
            <v>364.1</v>
          </cell>
          <cell r="E161" t="str">
            <v>Figurado</v>
          </cell>
        </row>
        <row r="162">
          <cell r="A162">
            <v>1000017056</v>
          </cell>
          <cell r="B162">
            <v>40548</v>
          </cell>
          <cell r="D162">
            <v>208</v>
          </cell>
          <cell r="E162" t="str">
            <v>Figurado</v>
          </cell>
        </row>
        <row r="163">
          <cell r="A163">
            <v>1000017056</v>
          </cell>
          <cell r="B163">
            <v>40548</v>
          </cell>
          <cell r="D163">
            <v>325.7</v>
          </cell>
          <cell r="E163" t="str">
            <v>Figurado</v>
          </cell>
        </row>
        <row r="164">
          <cell r="A164">
            <v>1000017057</v>
          </cell>
          <cell r="B164">
            <v>40548</v>
          </cell>
          <cell r="D164">
            <v>761.3</v>
          </cell>
          <cell r="E164" t="str">
            <v>Figurado</v>
          </cell>
        </row>
        <row r="165">
          <cell r="A165">
            <v>1000017057</v>
          </cell>
          <cell r="B165">
            <v>40548</v>
          </cell>
          <cell r="D165">
            <v>252.7</v>
          </cell>
          <cell r="E165" t="str">
            <v>Figurado</v>
          </cell>
        </row>
        <row r="166">
          <cell r="A166">
            <v>1000017057</v>
          </cell>
          <cell r="B166">
            <v>40548</v>
          </cell>
          <cell r="D166">
            <v>325.8</v>
          </cell>
          <cell r="E166" t="str">
            <v>Figurado</v>
          </cell>
        </row>
        <row r="167">
          <cell r="A167">
            <v>1000017058</v>
          </cell>
          <cell r="B167">
            <v>40548</v>
          </cell>
          <cell r="D167">
            <v>1027.4000000000001</v>
          </cell>
          <cell r="E167" t="str">
            <v>Figurado</v>
          </cell>
        </row>
        <row r="168">
          <cell r="A168">
            <v>1000017058</v>
          </cell>
          <cell r="B168">
            <v>40548</v>
          </cell>
          <cell r="D168">
            <v>1352.2</v>
          </cell>
          <cell r="E168" t="str">
            <v>Figurado</v>
          </cell>
        </row>
        <row r="169">
          <cell r="A169">
            <v>1000017059</v>
          </cell>
          <cell r="B169">
            <v>40548</v>
          </cell>
          <cell r="D169">
            <v>119.8</v>
          </cell>
          <cell r="E169" t="str">
            <v>Figurado</v>
          </cell>
        </row>
        <row r="170">
          <cell r="A170">
            <v>1000017059</v>
          </cell>
          <cell r="B170">
            <v>40548</v>
          </cell>
          <cell r="D170">
            <v>122.9</v>
          </cell>
          <cell r="E170" t="str">
            <v>Figurado</v>
          </cell>
        </row>
        <row r="171">
          <cell r="A171">
            <v>1000017059</v>
          </cell>
          <cell r="B171">
            <v>40548</v>
          </cell>
          <cell r="D171">
            <v>177.3</v>
          </cell>
          <cell r="E171" t="str">
            <v>Figurado</v>
          </cell>
        </row>
        <row r="172">
          <cell r="A172">
            <v>1000017060</v>
          </cell>
          <cell r="B172">
            <v>40548</v>
          </cell>
          <cell r="D172">
            <v>1437</v>
          </cell>
          <cell r="E172" t="str">
            <v>Figurado</v>
          </cell>
        </row>
        <row r="173">
          <cell r="A173">
            <v>1000017060</v>
          </cell>
          <cell r="B173">
            <v>40548</v>
          </cell>
          <cell r="D173">
            <v>936</v>
          </cell>
          <cell r="E173" t="str">
            <v>Figurado</v>
          </cell>
        </row>
        <row r="174">
          <cell r="A174">
            <v>1000017060</v>
          </cell>
          <cell r="B174">
            <v>40548</v>
          </cell>
          <cell r="D174">
            <v>1467.6</v>
          </cell>
          <cell r="E174" t="str">
            <v>Figurado</v>
          </cell>
        </row>
        <row r="175">
          <cell r="A175">
            <v>1000017067</v>
          </cell>
          <cell r="B175">
            <v>40548</v>
          </cell>
          <cell r="D175">
            <v>537.6</v>
          </cell>
          <cell r="E175" t="str">
            <v>Materia Prima</v>
          </cell>
        </row>
        <row r="176">
          <cell r="A176">
            <v>1000017067</v>
          </cell>
          <cell r="B176">
            <v>40548</v>
          </cell>
          <cell r="D176">
            <v>280.8</v>
          </cell>
          <cell r="E176" t="str">
            <v>Materia Prima</v>
          </cell>
        </row>
        <row r="177">
          <cell r="A177">
            <v>1000017067</v>
          </cell>
          <cell r="B177">
            <v>40548</v>
          </cell>
          <cell r="D177">
            <v>3608.1</v>
          </cell>
          <cell r="E177" t="str">
            <v>Figurado</v>
          </cell>
        </row>
        <row r="178">
          <cell r="A178">
            <v>1000017067</v>
          </cell>
          <cell r="B178">
            <v>40548</v>
          </cell>
          <cell r="D178">
            <v>3623.4</v>
          </cell>
          <cell r="E178" t="str">
            <v>Figurado</v>
          </cell>
        </row>
        <row r="179">
          <cell r="A179">
            <v>1000017067</v>
          </cell>
          <cell r="B179">
            <v>40548</v>
          </cell>
          <cell r="D179">
            <v>223.9</v>
          </cell>
          <cell r="E179" t="str">
            <v>Figurado</v>
          </cell>
        </row>
        <row r="180">
          <cell r="A180">
            <v>1000017067</v>
          </cell>
          <cell r="B180">
            <v>40548</v>
          </cell>
          <cell r="D180">
            <v>288.3</v>
          </cell>
          <cell r="E180" t="str">
            <v>Figurado</v>
          </cell>
        </row>
        <row r="181">
          <cell r="A181">
            <v>1000017067</v>
          </cell>
          <cell r="B181">
            <v>40548</v>
          </cell>
          <cell r="D181">
            <v>124.8</v>
          </cell>
          <cell r="E181" t="str">
            <v>Figurado</v>
          </cell>
        </row>
        <row r="182">
          <cell r="A182">
            <v>1000017071</v>
          </cell>
          <cell r="B182">
            <v>40548</v>
          </cell>
          <cell r="D182">
            <v>3040.8</v>
          </cell>
          <cell r="E182" t="str">
            <v>Figurado</v>
          </cell>
        </row>
        <row r="183">
          <cell r="A183">
            <v>1000017071</v>
          </cell>
          <cell r="B183">
            <v>40548</v>
          </cell>
          <cell r="D183">
            <v>2465.3000000000002</v>
          </cell>
          <cell r="E183" t="str">
            <v>Figurado</v>
          </cell>
        </row>
        <row r="184">
          <cell r="A184">
            <v>1000017071</v>
          </cell>
          <cell r="B184">
            <v>40548</v>
          </cell>
          <cell r="D184">
            <v>3587.6</v>
          </cell>
          <cell r="E184" t="str">
            <v>Figurado</v>
          </cell>
        </row>
        <row r="185">
          <cell r="A185">
            <v>1000017071</v>
          </cell>
          <cell r="B185">
            <v>40548</v>
          </cell>
          <cell r="D185">
            <v>279.7</v>
          </cell>
          <cell r="E185" t="str">
            <v>Figurado</v>
          </cell>
        </row>
        <row r="186">
          <cell r="A186">
            <v>1000017071</v>
          </cell>
          <cell r="B186">
            <v>40548</v>
          </cell>
          <cell r="D186">
            <v>673.6</v>
          </cell>
          <cell r="E186" t="str">
            <v>Figurado</v>
          </cell>
        </row>
        <row r="187">
          <cell r="A187">
            <v>1000017072</v>
          </cell>
          <cell r="B187">
            <v>40548</v>
          </cell>
          <cell r="D187">
            <v>103</v>
          </cell>
          <cell r="E187" t="str">
            <v>Figurado</v>
          </cell>
        </row>
        <row r="188">
          <cell r="A188">
            <v>1000016998</v>
          </cell>
          <cell r="B188">
            <v>40546</v>
          </cell>
          <cell r="D188">
            <v>35496</v>
          </cell>
          <cell r="E188" t="str">
            <v>Materia Prima</v>
          </cell>
        </row>
        <row r="189">
          <cell r="A189">
            <v>1000017045</v>
          </cell>
          <cell r="B189">
            <v>40547</v>
          </cell>
          <cell r="D189">
            <v>564.4</v>
          </cell>
          <cell r="E189" t="str">
            <v>Mallas</v>
          </cell>
        </row>
        <row r="190">
          <cell r="A190">
            <v>1000017047</v>
          </cell>
          <cell r="B190">
            <v>40547</v>
          </cell>
          <cell r="D190">
            <v>659.3</v>
          </cell>
          <cell r="E190" t="str">
            <v>Mallas</v>
          </cell>
        </row>
        <row r="191">
          <cell r="A191">
            <v>1000017061</v>
          </cell>
          <cell r="B191">
            <v>40548</v>
          </cell>
          <cell r="D191">
            <v>5114.1000000000004</v>
          </cell>
          <cell r="E191" t="str">
            <v>Figurado</v>
          </cell>
        </row>
        <row r="192">
          <cell r="A192">
            <v>1000017062</v>
          </cell>
          <cell r="B192">
            <v>40548</v>
          </cell>
          <cell r="D192">
            <v>26.9</v>
          </cell>
          <cell r="E192" t="str">
            <v>Materia Prima</v>
          </cell>
        </row>
        <row r="193">
          <cell r="A193">
            <v>1000017062</v>
          </cell>
          <cell r="B193">
            <v>40548</v>
          </cell>
          <cell r="D193">
            <v>265.2</v>
          </cell>
          <cell r="E193" t="str">
            <v>Figurado</v>
          </cell>
        </row>
        <row r="194">
          <cell r="A194">
            <v>1000017062</v>
          </cell>
          <cell r="B194">
            <v>40548</v>
          </cell>
          <cell r="D194">
            <v>1787.7</v>
          </cell>
          <cell r="E194" t="str">
            <v>Figurado</v>
          </cell>
        </row>
        <row r="195">
          <cell r="A195">
            <v>1000017062</v>
          </cell>
          <cell r="B195">
            <v>40548</v>
          </cell>
          <cell r="D195">
            <v>2557</v>
          </cell>
          <cell r="E195" t="str">
            <v>Figurado</v>
          </cell>
        </row>
        <row r="196">
          <cell r="A196">
            <v>1000017068</v>
          </cell>
          <cell r="B196">
            <v>40548</v>
          </cell>
          <cell r="D196">
            <v>21169.24</v>
          </cell>
          <cell r="E196" t="str">
            <v>Materia Prima</v>
          </cell>
        </row>
        <row r="197">
          <cell r="A197">
            <v>1000017068</v>
          </cell>
          <cell r="B197">
            <v>40548</v>
          </cell>
          <cell r="D197">
            <v>9405</v>
          </cell>
          <cell r="E197" t="str">
            <v>Mallas</v>
          </cell>
        </row>
        <row r="198">
          <cell r="A198">
            <v>1000017069</v>
          </cell>
          <cell r="B198">
            <v>40548</v>
          </cell>
          <cell r="D198">
            <v>3673.8</v>
          </cell>
          <cell r="E198" t="str">
            <v>Figurado</v>
          </cell>
        </row>
        <row r="199">
          <cell r="A199">
            <v>1000017070</v>
          </cell>
          <cell r="B199">
            <v>40548</v>
          </cell>
          <cell r="D199">
            <v>40.299999999999997</v>
          </cell>
          <cell r="E199" t="str">
            <v>Materia Prima</v>
          </cell>
        </row>
        <row r="200">
          <cell r="A200">
            <v>1000017070</v>
          </cell>
          <cell r="B200">
            <v>40548</v>
          </cell>
          <cell r="D200">
            <v>366.6</v>
          </cell>
          <cell r="E200" t="str">
            <v>Figurado</v>
          </cell>
        </row>
        <row r="201">
          <cell r="A201">
            <v>1000017070</v>
          </cell>
          <cell r="B201">
            <v>40548</v>
          </cell>
          <cell r="D201">
            <v>2657.3</v>
          </cell>
          <cell r="E201" t="str">
            <v>Figurado</v>
          </cell>
        </row>
        <row r="202">
          <cell r="A202">
            <v>1000017070</v>
          </cell>
          <cell r="B202">
            <v>40548</v>
          </cell>
          <cell r="D202">
            <v>3716.7</v>
          </cell>
          <cell r="E202" t="str">
            <v>Figurado</v>
          </cell>
        </row>
        <row r="203">
          <cell r="A203">
            <v>1000017075</v>
          </cell>
          <cell r="B203">
            <v>40548</v>
          </cell>
          <cell r="D203">
            <v>12350</v>
          </cell>
          <cell r="E203" t="str">
            <v>Mallas</v>
          </cell>
        </row>
        <row r="204">
          <cell r="A204">
            <v>1000017075</v>
          </cell>
          <cell r="B204">
            <v>40548</v>
          </cell>
          <cell r="D204">
            <v>10545</v>
          </cell>
          <cell r="E204" t="str">
            <v>Mallas</v>
          </cell>
        </row>
        <row r="205">
          <cell r="A205">
            <v>1000017076</v>
          </cell>
          <cell r="B205">
            <v>40548</v>
          </cell>
          <cell r="D205">
            <v>1519</v>
          </cell>
          <cell r="E205" t="str">
            <v>Figurado</v>
          </cell>
        </row>
        <row r="206">
          <cell r="A206">
            <v>1000017076</v>
          </cell>
          <cell r="B206">
            <v>40548</v>
          </cell>
          <cell r="D206">
            <v>939.8</v>
          </cell>
          <cell r="E206" t="str">
            <v>Figurado</v>
          </cell>
        </row>
        <row r="207">
          <cell r="A207">
            <v>1000017076</v>
          </cell>
          <cell r="B207">
            <v>40548</v>
          </cell>
          <cell r="D207">
            <v>433</v>
          </cell>
          <cell r="E207" t="str">
            <v>Figurado</v>
          </cell>
        </row>
        <row r="208">
          <cell r="A208">
            <v>1000017076</v>
          </cell>
          <cell r="B208">
            <v>40548</v>
          </cell>
          <cell r="D208">
            <v>4519.1000000000004</v>
          </cell>
          <cell r="E208" t="str">
            <v>Figurado</v>
          </cell>
        </row>
        <row r="209">
          <cell r="A209">
            <v>1000017076</v>
          </cell>
          <cell r="B209">
            <v>40548</v>
          </cell>
          <cell r="D209">
            <v>754</v>
          </cell>
          <cell r="E209" t="str">
            <v>Figurado</v>
          </cell>
        </row>
        <row r="210">
          <cell r="A210">
            <v>1000016980</v>
          </cell>
          <cell r="B210">
            <v>40546</v>
          </cell>
          <cell r="D210">
            <v>132.1</v>
          </cell>
          <cell r="E210" t="str">
            <v>Figurado</v>
          </cell>
        </row>
        <row r="211">
          <cell r="A211">
            <v>1000017064</v>
          </cell>
          <cell r="B211">
            <v>40548</v>
          </cell>
          <cell r="D211">
            <v>200</v>
          </cell>
          <cell r="E211" t="str">
            <v>Materia Prima</v>
          </cell>
        </row>
        <row r="212">
          <cell r="A212">
            <v>1000017065</v>
          </cell>
          <cell r="B212">
            <v>40548</v>
          </cell>
          <cell r="D212">
            <v>450</v>
          </cell>
          <cell r="E212" t="str">
            <v>Materia Prima</v>
          </cell>
        </row>
        <row r="213">
          <cell r="A213">
            <v>1000017066</v>
          </cell>
          <cell r="B213">
            <v>40548</v>
          </cell>
          <cell r="D213">
            <v>812</v>
          </cell>
          <cell r="E213" t="str">
            <v>Materia Prima</v>
          </cell>
        </row>
        <row r="214">
          <cell r="A214">
            <v>1000017073</v>
          </cell>
          <cell r="B214">
            <v>40548</v>
          </cell>
          <cell r="D214">
            <v>22.4</v>
          </cell>
          <cell r="E214" t="str">
            <v>Materia Prima</v>
          </cell>
        </row>
        <row r="215">
          <cell r="A215">
            <v>1000017073</v>
          </cell>
          <cell r="B215">
            <v>40548</v>
          </cell>
          <cell r="D215">
            <v>96</v>
          </cell>
          <cell r="E215" t="str">
            <v>Figurado</v>
          </cell>
        </row>
        <row r="216">
          <cell r="A216">
            <v>1000017073</v>
          </cell>
          <cell r="B216">
            <v>40548</v>
          </cell>
          <cell r="D216">
            <v>17.8</v>
          </cell>
          <cell r="E216" t="str">
            <v>Materia Prima</v>
          </cell>
        </row>
        <row r="217">
          <cell r="A217">
            <v>1000017073</v>
          </cell>
          <cell r="B217">
            <v>40548</v>
          </cell>
          <cell r="D217">
            <v>358.3</v>
          </cell>
          <cell r="E217" t="str">
            <v>Figurado</v>
          </cell>
        </row>
        <row r="218">
          <cell r="A218">
            <v>1000017073</v>
          </cell>
          <cell r="B218">
            <v>40548</v>
          </cell>
          <cell r="D218">
            <v>36.4</v>
          </cell>
          <cell r="E218" t="str">
            <v>Materia Prima</v>
          </cell>
        </row>
        <row r="219">
          <cell r="A219">
            <v>1000017073</v>
          </cell>
          <cell r="B219">
            <v>40548</v>
          </cell>
          <cell r="D219">
            <v>102.1</v>
          </cell>
          <cell r="E219" t="str">
            <v>Figurado</v>
          </cell>
        </row>
        <row r="220">
          <cell r="A220">
            <v>1000017073</v>
          </cell>
          <cell r="B220">
            <v>40548</v>
          </cell>
          <cell r="D220">
            <v>36.6</v>
          </cell>
          <cell r="E220" t="str">
            <v>Materia Prima</v>
          </cell>
        </row>
        <row r="221">
          <cell r="A221">
            <v>1000017073</v>
          </cell>
          <cell r="B221">
            <v>40548</v>
          </cell>
          <cell r="D221">
            <v>106.9</v>
          </cell>
          <cell r="E221" t="str">
            <v>Figurado</v>
          </cell>
        </row>
        <row r="222">
          <cell r="A222">
            <v>1000017074</v>
          </cell>
          <cell r="B222">
            <v>40548</v>
          </cell>
          <cell r="D222">
            <v>96</v>
          </cell>
          <cell r="E222" t="str">
            <v>Figurado</v>
          </cell>
        </row>
        <row r="223">
          <cell r="A223">
            <v>1000017074</v>
          </cell>
          <cell r="B223">
            <v>40548</v>
          </cell>
          <cell r="D223">
            <v>358.4</v>
          </cell>
          <cell r="E223" t="str">
            <v>Figurado</v>
          </cell>
        </row>
        <row r="224">
          <cell r="A224">
            <v>1000017074</v>
          </cell>
          <cell r="B224">
            <v>40548</v>
          </cell>
          <cell r="D224">
            <v>131.80000000000001</v>
          </cell>
          <cell r="E224" t="str">
            <v>Figurado</v>
          </cell>
        </row>
        <row r="225">
          <cell r="A225">
            <v>1000017074</v>
          </cell>
          <cell r="B225">
            <v>40548</v>
          </cell>
          <cell r="D225">
            <v>106.9</v>
          </cell>
          <cell r="E225" t="str">
            <v>Figurado</v>
          </cell>
        </row>
        <row r="226">
          <cell r="A226">
            <v>1000017077</v>
          </cell>
          <cell r="B226">
            <v>40548</v>
          </cell>
          <cell r="D226">
            <v>866</v>
          </cell>
          <cell r="E226" t="str">
            <v>Mallas</v>
          </cell>
        </row>
        <row r="227">
          <cell r="A227">
            <v>1000017078</v>
          </cell>
          <cell r="B227">
            <v>40548</v>
          </cell>
          <cell r="D227">
            <v>866</v>
          </cell>
          <cell r="E227" t="str">
            <v>Mallas</v>
          </cell>
        </row>
        <row r="228">
          <cell r="A228">
            <v>1000017079</v>
          </cell>
          <cell r="B228">
            <v>40548</v>
          </cell>
          <cell r="D228">
            <v>866</v>
          </cell>
          <cell r="E228" t="str">
            <v>Mallas</v>
          </cell>
        </row>
        <row r="229">
          <cell r="A229">
            <v>1000017080</v>
          </cell>
          <cell r="B229">
            <v>40548</v>
          </cell>
          <cell r="D229">
            <v>866</v>
          </cell>
          <cell r="E229" t="str">
            <v>Mallas</v>
          </cell>
        </row>
        <row r="230">
          <cell r="A230">
            <v>1000017081</v>
          </cell>
          <cell r="B230">
            <v>40548</v>
          </cell>
          <cell r="D230">
            <v>1012.32</v>
          </cell>
          <cell r="E230" t="str">
            <v>Mallas</v>
          </cell>
        </row>
        <row r="231">
          <cell r="A231">
            <v>1000017082</v>
          </cell>
          <cell r="B231">
            <v>40548</v>
          </cell>
          <cell r="D231">
            <v>7.8</v>
          </cell>
          <cell r="E231" t="str">
            <v>Materia Prima</v>
          </cell>
        </row>
        <row r="232">
          <cell r="A232">
            <v>1000017083</v>
          </cell>
          <cell r="B232">
            <v>40548</v>
          </cell>
          <cell r="D232">
            <v>7.8</v>
          </cell>
          <cell r="E232" t="str">
            <v>Materia Prima</v>
          </cell>
        </row>
        <row r="233">
          <cell r="A233">
            <v>1000017084</v>
          </cell>
          <cell r="B233">
            <v>40548</v>
          </cell>
          <cell r="D233">
            <v>7.8</v>
          </cell>
          <cell r="E233" t="str">
            <v>Materia Prima</v>
          </cell>
        </row>
        <row r="234">
          <cell r="A234">
            <v>1000017085</v>
          </cell>
          <cell r="B234">
            <v>40548</v>
          </cell>
          <cell r="D234">
            <v>7.8</v>
          </cell>
          <cell r="E234" t="str">
            <v>Materia Prima</v>
          </cell>
        </row>
        <row r="235">
          <cell r="A235">
            <v>1000017098</v>
          </cell>
          <cell r="B235">
            <v>40549</v>
          </cell>
          <cell r="D235">
            <v>280.5</v>
          </cell>
          <cell r="E235" t="str">
            <v>Figurado</v>
          </cell>
        </row>
        <row r="236">
          <cell r="A236">
            <v>1000017098</v>
          </cell>
          <cell r="B236">
            <v>40549</v>
          </cell>
          <cell r="D236">
            <v>169.4</v>
          </cell>
          <cell r="E236" t="str">
            <v>Figurado</v>
          </cell>
        </row>
        <row r="237">
          <cell r="A237">
            <v>1000017098</v>
          </cell>
          <cell r="B237">
            <v>40549</v>
          </cell>
          <cell r="D237">
            <v>106.9</v>
          </cell>
          <cell r="E237" t="str">
            <v>Figurado</v>
          </cell>
        </row>
        <row r="238">
          <cell r="A238">
            <v>1000017098</v>
          </cell>
          <cell r="B238">
            <v>40549</v>
          </cell>
          <cell r="D238">
            <v>488.1</v>
          </cell>
          <cell r="E238" t="str">
            <v>Figurado</v>
          </cell>
        </row>
        <row r="239">
          <cell r="A239">
            <v>1000017099</v>
          </cell>
          <cell r="B239">
            <v>40549</v>
          </cell>
          <cell r="D239">
            <v>428</v>
          </cell>
          <cell r="E239" t="str">
            <v>Figurado</v>
          </cell>
        </row>
        <row r="240">
          <cell r="A240">
            <v>1000017099</v>
          </cell>
          <cell r="B240">
            <v>40549</v>
          </cell>
          <cell r="D240">
            <v>3751.7</v>
          </cell>
          <cell r="E240" t="str">
            <v>Figurado</v>
          </cell>
        </row>
        <row r="241">
          <cell r="A241">
            <v>1000017100</v>
          </cell>
          <cell r="B241">
            <v>40549</v>
          </cell>
          <cell r="D241">
            <v>2223.3000000000002</v>
          </cell>
          <cell r="E241" t="str">
            <v>Figurado</v>
          </cell>
        </row>
        <row r="242">
          <cell r="A242">
            <v>1000017100</v>
          </cell>
          <cell r="B242">
            <v>40549</v>
          </cell>
          <cell r="D242">
            <v>1393</v>
          </cell>
          <cell r="E242" t="str">
            <v>Figurado</v>
          </cell>
        </row>
        <row r="243">
          <cell r="A243">
            <v>1000017101</v>
          </cell>
          <cell r="B243">
            <v>40549</v>
          </cell>
          <cell r="D243">
            <v>108</v>
          </cell>
          <cell r="E243" t="str">
            <v>Figurado</v>
          </cell>
        </row>
        <row r="244">
          <cell r="A244">
            <v>1000017101</v>
          </cell>
          <cell r="B244">
            <v>40549</v>
          </cell>
          <cell r="D244">
            <v>1635.2</v>
          </cell>
          <cell r="E244" t="str">
            <v>Figurado</v>
          </cell>
        </row>
        <row r="245">
          <cell r="A245">
            <v>1000017101</v>
          </cell>
          <cell r="B245">
            <v>40549</v>
          </cell>
          <cell r="D245">
            <v>2430.9</v>
          </cell>
          <cell r="E245" t="str">
            <v>Figurado</v>
          </cell>
        </row>
        <row r="246">
          <cell r="A246">
            <v>1000017101</v>
          </cell>
          <cell r="B246">
            <v>40549</v>
          </cell>
          <cell r="D246">
            <v>1197.5999999999999</v>
          </cell>
          <cell r="E246" t="str">
            <v>Figurado</v>
          </cell>
        </row>
        <row r="247">
          <cell r="A247">
            <v>1000017102</v>
          </cell>
          <cell r="B247">
            <v>40549</v>
          </cell>
          <cell r="D247">
            <v>7467.5</v>
          </cell>
          <cell r="E247" t="str">
            <v>Figurado</v>
          </cell>
        </row>
        <row r="248">
          <cell r="A248">
            <v>1000017102</v>
          </cell>
          <cell r="B248">
            <v>40549</v>
          </cell>
          <cell r="D248">
            <v>168</v>
          </cell>
          <cell r="E248" t="str">
            <v>Figurado</v>
          </cell>
        </row>
        <row r="249">
          <cell r="A249">
            <v>1000017102</v>
          </cell>
          <cell r="B249">
            <v>40549</v>
          </cell>
          <cell r="D249">
            <v>497.3</v>
          </cell>
          <cell r="E249" t="str">
            <v>Figurado</v>
          </cell>
        </row>
        <row r="250">
          <cell r="A250">
            <v>1000017102</v>
          </cell>
          <cell r="B250">
            <v>40549</v>
          </cell>
          <cell r="D250">
            <v>1211.3</v>
          </cell>
          <cell r="E250" t="str">
            <v>Figurado</v>
          </cell>
        </row>
        <row r="251">
          <cell r="A251">
            <v>1000017102</v>
          </cell>
          <cell r="B251">
            <v>40549</v>
          </cell>
          <cell r="D251">
            <v>1321.9</v>
          </cell>
          <cell r="E251" t="str">
            <v>Figurado</v>
          </cell>
        </row>
        <row r="252">
          <cell r="A252">
            <v>1000017102</v>
          </cell>
          <cell r="B252">
            <v>40549</v>
          </cell>
          <cell r="D252">
            <v>4540.8</v>
          </cell>
          <cell r="E252" t="str">
            <v>Figurado</v>
          </cell>
        </row>
        <row r="253">
          <cell r="A253">
            <v>1000017103</v>
          </cell>
          <cell r="B253">
            <v>40549</v>
          </cell>
          <cell r="D253">
            <v>2</v>
          </cell>
          <cell r="E253" t="str">
            <v>Figurado</v>
          </cell>
        </row>
        <row r="254">
          <cell r="A254">
            <v>1000017103</v>
          </cell>
          <cell r="B254">
            <v>40549</v>
          </cell>
          <cell r="D254">
            <v>1855.9</v>
          </cell>
          <cell r="E254" t="str">
            <v>Figurado</v>
          </cell>
        </row>
        <row r="255">
          <cell r="A255">
            <v>1000017104</v>
          </cell>
          <cell r="B255">
            <v>40549</v>
          </cell>
          <cell r="D255">
            <v>2867.8</v>
          </cell>
          <cell r="E255" t="str">
            <v>Figurado</v>
          </cell>
        </row>
        <row r="256">
          <cell r="A256">
            <v>1000017105</v>
          </cell>
          <cell r="B256">
            <v>40549</v>
          </cell>
          <cell r="D256">
            <v>250</v>
          </cell>
          <cell r="E256" t="str">
            <v>Materia Prima</v>
          </cell>
        </row>
        <row r="257">
          <cell r="A257">
            <v>1000017105</v>
          </cell>
          <cell r="B257">
            <v>40549</v>
          </cell>
          <cell r="D257">
            <v>302.39999999999998</v>
          </cell>
          <cell r="E257" t="str">
            <v>Figurado</v>
          </cell>
        </row>
        <row r="258">
          <cell r="A258">
            <v>1000017105</v>
          </cell>
          <cell r="B258">
            <v>40549</v>
          </cell>
          <cell r="D258">
            <v>270</v>
          </cell>
          <cell r="E258" t="str">
            <v>Figurado</v>
          </cell>
        </row>
        <row r="259">
          <cell r="A259">
            <v>1000017106</v>
          </cell>
          <cell r="B259">
            <v>40549</v>
          </cell>
          <cell r="D259">
            <v>522.29999999999995</v>
          </cell>
          <cell r="E259" t="str">
            <v>Figurado</v>
          </cell>
        </row>
        <row r="260">
          <cell r="A260">
            <v>1000017106</v>
          </cell>
          <cell r="B260">
            <v>40549</v>
          </cell>
          <cell r="D260">
            <v>499.2</v>
          </cell>
          <cell r="E260" t="str">
            <v>Figurado</v>
          </cell>
        </row>
        <row r="261">
          <cell r="A261">
            <v>1000017109</v>
          </cell>
          <cell r="B261">
            <v>40549</v>
          </cell>
          <cell r="D261">
            <v>772.8</v>
          </cell>
          <cell r="E261" t="str">
            <v>Materia Prima</v>
          </cell>
        </row>
        <row r="262">
          <cell r="A262">
            <v>1000017109</v>
          </cell>
          <cell r="B262">
            <v>40549</v>
          </cell>
          <cell r="D262">
            <v>1516.5</v>
          </cell>
          <cell r="E262" t="str">
            <v>Figurado</v>
          </cell>
        </row>
        <row r="263">
          <cell r="A263">
            <v>1000017110</v>
          </cell>
          <cell r="B263">
            <v>40549</v>
          </cell>
          <cell r="D263">
            <v>84</v>
          </cell>
          <cell r="E263" t="str">
            <v>Materia Prima</v>
          </cell>
        </row>
        <row r="264">
          <cell r="A264">
            <v>1000017110</v>
          </cell>
          <cell r="B264">
            <v>40549</v>
          </cell>
          <cell r="D264">
            <v>131</v>
          </cell>
          <cell r="E264" t="str">
            <v>Materia Prima</v>
          </cell>
        </row>
        <row r="265">
          <cell r="A265">
            <v>1000017110</v>
          </cell>
          <cell r="B265">
            <v>40549</v>
          </cell>
          <cell r="D265">
            <v>810.7</v>
          </cell>
          <cell r="E265" t="str">
            <v>Figurado</v>
          </cell>
        </row>
        <row r="266">
          <cell r="A266">
            <v>1000017110</v>
          </cell>
          <cell r="B266">
            <v>40549</v>
          </cell>
          <cell r="D266">
            <v>250.9</v>
          </cell>
          <cell r="E266" t="str">
            <v>Figurado</v>
          </cell>
        </row>
        <row r="267">
          <cell r="A267">
            <v>1000017110</v>
          </cell>
          <cell r="B267">
            <v>40549</v>
          </cell>
          <cell r="D267">
            <v>322.89999999999998</v>
          </cell>
          <cell r="E267" t="str">
            <v>Figurado</v>
          </cell>
        </row>
        <row r="268">
          <cell r="A268">
            <v>1000017111</v>
          </cell>
          <cell r="B268">
            <v>40549</v>
          </cell>
          <cell r="D268">
            <v>204</v>
          </cell>
          <cell r="E268" t="str">
            <v>Materia Prima</v>
          </cell>
        </row>
        <row r="269">
          <cell r="A269">
            <v>1000017111</v>
          </cell>
          <cell r="B269">
            <v>40549</v>
          </cell>
          <cell r="D269">
            <v>56.2</v>
          </cell>
          <cell r="E269" t="str">
            <v>Materia Prima</v>
          </cell>
        </row>
        <row r="270">
          <cell r="A270">
            <v>1000017111</v>
          </cell>
          <cell r="B270">
            <v>40549</v>
          </cell>
          <cell r="D270">
            <v>1887</v>
          </cell>
          <cell r="E270" t="str">
            <v>Figurado</v>
          </cell>
        </row>
        <row r="271">
          <cell r="A271">
            <v>1000017111</v>
          </cell>
          <cell r="B271">
            <v>40549</v>
          </cell>
          <cell r="D271">
            <v>984.8</v>
          </cell>
          <cell r="E271" t="str">
            <v>Figurado</v>
          </cell>
        </row>
        <row r="272">
          <cell r="A272">
            <v>1000017111</v>
          </cell>
          <cell r="B272">
            <v>40549</v>
          </cell>
          <cell r="D272">
            <v>472.1</v>
          </cell>
          <cell r="E272" t="str">
            <v>Figurado</v>
          </cell>
        </row>
        <row r="273">
          <cell r="A273">
            <v>1000017111</v>
          </cell>
          <cell r="B273">
            <v>40549</v>
          </cell>
          <cell r="D273">
            <v>343.4</v>
          </cell>
          <cell r="E273" t="str">
            <v>Figurado</v>
          </cell>
        </row>
        <row r="274">
          <cell r="A274">
            <v>1000017111</v>
          </cell>
          <cell r="B274">
            <v>40549</v>
          </cell>
          <cell r="D274">
            <v>151.80000000000001</v>
          </cell>
          <cell r="E274" t="str">
            <v>Figurado</v>
          </cell>
        </row>
        <row r="275">
          <cell r="A275">
            <v>1000017111</v>
          </cell>
          <cell r="B275">
            <v>40549</v>
          </cell>
          <cell r="D275">
            <v>16.8</v>
          </cell>
          <cell r="E275" t="str">
            <v>Figurado</v>
          </cell>
        </row>
        <row r="276">
          <cell r="A276">
            <v>1000017112</v>
          </cell>
          <cell r="B276">
            <v>40549</v>
          </cell>
          <cell r="D276">
            <v>53.8</v>
          </cell>
          <cell r="E276" t="str">
            <v>Materia Prima</v>
          </cell>
        </row>
        <row r="277">
          <cell r="A277">
            <v>1000017112</v>
          </cell>
          <cell r="B277">
            <v>40549</v>
          </cell>
          <cell r="D277">
            <v>530.29999999999995</v>
          </cell>
          <cell r="E277" t="str">
            <v>Figurado</v>
          </cell>
        </row>
        <row r="278">
          <cell r="A278">
            <v>1000017112</v>
          </cell>
          <cell r="B278">
            <v>40549</v>
          </cell>
          <cell r="D278">
            <v>3575.4</v>
          </cell>
          <cell r="E278" t="str">
            <v>Figurado</v>
          </cell>
        </row>
        <row r="279">
          <cell r="A279">
            <v>1000017112</v>
          </cell>
          <cell r="B279">
            <v>40549</v>
          </cell>
          <cell r="D279">
            <v>5114.1000000000004</v>
          </cell>
          <cell r="E279" t="str">
            <v>Figurado</v>
          </cell>
        </row>
        <row r="280">
          <cell r="A280">
            <v>1000017113</v>
          </cell>
          <cell r="B280">
            <v>40549</v>
          </cell>
          <cell r="D280">
            <v>33645</v>
          </cell>
          <cell r="E280" t="str">
            <v>Materia Prima</v>
          </cell>
        </row>
        <row r="281">
          <cell r="A281">
            <v>1000017114</v>
          </cell>
          <cell r="B281">
            <v>40550</v>
          </cell>
          <cell r="D281">
            <v>2605.4</v>
          </cell>
          <cell r="E281" t="str">
            <v>Figurado</v>
          </cell>
        </row>
        <row r="282">
          <cell r="A282">
            <v>1000017114</v>
          </cell>
          <cell r="B282">
            <v>40550</v>
          </cell>
          <cell r="D282">
            <v>5043.2</v>
          </cell>
          <cell r="E282" t="str">
            <v>Figurado</v>
          </cell>
        </row>
        <row r="283">
          <cell r="A283">
            <v>1000017086</v>
          </cell>
          <cell r="B283">
            <v>40549</v>
          </cell>
          <cell r="D283">
            <v>2530.8000000000002</v>
          </cell>
          <cell r="E283" t="str">
            <v>Mallas</v>
          </cell>
        </row>
        <row r="284">
          <cell r="A284">
            <v>1000017087</v>
          </cell>
          <cell r="B284">
            <v>40549</v>
          </cell>
          <cell r="D284">
            <v>500</v>
          </cell>
          <cell r="E284" t="str">
            <v>Materia Prima</v>
          </cell>
        </row>
        <row r="285">
          <cell r="A285">
            <v>1000017088</v>
          </cell>
          <cell r="B285">
            <v>40549</v>
          </cell>
          <cell r="D285">
            <v>2865.2</v>
          </cell>
          <cell r="E285" t="str">
            <v>Mallas</v>
          </cell>
        </row>
        <row r="286">
          <cell r="A286">
            <v>1000017107</v>
          </cell>
          <cell r="B286">
            <v>40549</v>
          </cell>
          <cell r="D286">
            <v>8436</v>
          </cell>
          <cell r="E286" t="str">
            <v>Mallas</v>
          </cell>
        </row>
        <row r="287">
          <cell r="A287">
            <v>1000017107</v>
          </cell>
          <cell r="B287">
            <v>40549</v>
          </cell>
          <cell r="D287">
            <v>1186.74</v>
          </cell>
          <cell r="E287" t="str">
            <v>Mallas</v>
          </cell>
        </row>
        <row r="288">
          <cell r="A288">
            <v>1000017108</v>
          </cell>
          <cell r="B288">
            <v>40549</v>
          </cell>
          <cell r="D288">
            <v>3087.5</v>
          </cell>
          <cell r="E288" t="str">
            <v>Mallas</v>
          </cell>
        </row>
        <row r="289">
          <cell r="A289">
            <v>1000017115</v>
          </cell>
          <cell r="B289">
            <v>40550</v>
          </cell>
          <cell r="D289">
            <v>6110</v>
          </cell>
          <cell r="E289" t="str">
            <v>Figurado</v>
          </cell>
        </row>
        <row r="290">
          <cell r="A290">
            <v>1000017116</v>
          </cell>
          <cell r="B290">
            <v>40550</v>
          </cell>
          <cell r="D290">
            <v>1572</v>
          </cell>
          <cell r="E290" t="str">
            <v>Mallas</v>
          </cell>
        </row>
        <row r="291">
          <cell r="A291">
            <v>1000017117</v>
          </cell>
          <cell r="B291">
            <v>40550</v>
          </cell>
          <cell r="D291">
            <v>1270</v>
          </cell>
          <cell r="E291" t="str">
            <v>Mallas</v>
          </cell>
        </row>
        <row r="292">
          <cell r="A292">
            <v>1000017118</v>
          </cell>
          <cell r="B292">
            <v>40550</v>
          </cell>
          <cell r="D292">
            <v>1270</v>
          </cell>
          <cell r="E292" t="str">
            <v>Mallas</v>
          </cell>
        </row>
        <row r="293">
          <cell r="A293">
            <v>1000017119</v>
          </cell>
          <cell r="B293">
            <v>40550</v>
          </cell>
          <cell r="D293">
            <v>338.64</v>
          </cell>
          <cell r="E293" t="str">
            <v>Mallas</v>
          </cell>
        </row>
        <row r="294">
          <cell r="A294">
            <v>1000017120</v>
          </cell>
          <cell r="B294">
            <v>40550</v>
          </cell>
          <cell r="D294">
            <v>2443.8000000000002</v>
          </cell>
          <cell r="E294" t="str">
            <v>Figurado</v>
          </cell>
        </row>
        <row r="295">
          <cell r="A295">
            <v>1000017127</v>
          </cell>
          <cell r="B295">
            <v>40550</v>
          </cell>
          <cell r="D295">
            <v>2088</v>
          </cell>
          <cell r="E295" t="str">
            <v>Figurado</v>
          </cell>
        </row>
        <row r="296">
          <cell r="A296">
            <v>1000017127</v>
          </cell>
          <cell r="B296">
            <v>40550</v>
          </cell>
          <cell r="D296">
            <v>7395.2</v>
          </cell>
          <cell r="E296" t="str">
            <v>Figurado</v>
          </cell>
        </row>
        <row r="297">
          <cell r="A297">
            <v>1000017128</v>
          </cell>
          <cell r="B297">
            <v>40550</v>
          </cell>
          <cell r="D297">
            <v>3711.4</v>
          </cell>
          <cell r="E297" t="str">
            <v>Figurado</v>
          </cell>
        </row>
        <row r="298">
          <cell r="A298">
            <v>1000017129</v>
          </cell>
          <cell r="B298">
            <v>40550</v>
          </cell>
          <cell r="D298">
            <v>2542.6</v>
          </cell>
          <cell r="E298" t="str">
            <v>Figurado</v>
          </cell>
        </row>
        <row r="299">
          <cell r="A299">
            <v>1000017130</v>
          </cell>
          <cell r="B299">
            <v>40550</v>
          </cell>
          <cell r="D299">
            <v>1068.5999999999999</v>
          </cell>
          <cell r="E299" t="str">
            <v>Figurado</v>
          </cell>
        </row>
        <row r="300">
          <cell r="A300">
            <v>1000017130</v>
          </cell>
          <cell r="B300">
            <v>40550</v>
          </cell>
          <cell r="D300">
            <v>132.4</v>
          </cell>
          <cell r="E300" t="str">
            <v>Figurado</v>
          </cell>
        </row>
        <row r="301">
          <cell r="A301">
            <v>1000017131</v>
          </cell>
          <cell r="B301">
            <v>40550</v>
          </cell>
          <cell r="D301">
            <v>6264</v>
          </cell>
          <cell r="E301" t="str">
            <v>Materia Prima</v>
          </cell>
        </row>
        <row r="302">
          <cell r="A302">
            <v>1000017132</v>
          </cell>
          <cell r="B302">
            <v>40550</v>
          </cell>
          <cell r="D302">
            <v>3649.4</v>
          </cell>
          <cell r="E302" t="str">
            <v>Figurado</v>
          </cell>
        </row>
        <row r="303">
          <cell r="A303">
            <v>1000017133</v>
          </cell>
          <cell r="B303">
            <v>40550</v>
          </cell>
          <cell r="D303">
            <v>8976</v>
          </cell>
          <cell r="E303" t="str">
            <v>Materia Prima</v>
          </cell>
        </row>
        <row r="304">
          <cell r="A304">
            <v>1000017134</v>
          </cell>
          <cell r="B304">
            <v>40550</v>
          </cell>
          <cell r="D304">
            <v>11128.8</v>
          </cell>
          <cell r="E304" t="str">
            <v>Figurado</v>
          </cell>
        </row>
        <row r="305">
          <cell r="A305">
            <v>1000017135</v>
          </cell>
          <cell r="B305">
            <v>40550</v>
          </cell>
          <cell r="D305">
            <v>11409.5</v>
          </cell>
          <cell r="E305" t="str">
            <v>Figurado</v>
          </cell>
        </row>
        <row r="306">
          <cell r="A306">
            <v>1000017136</v>
          </cell>
          <cell r="B306">
            <v>40551</v>
          </cell>
          <cell r="D306">
            <v>544</v>
          </cell>
          <cell r="E306" t="str">
            <v>Figurado</v>
          </cell>
        </row>
        <row r="307">
          <cell r="A307">
            <v>1000017139</v>
          </cell>
          <cell r="B307">
            <v>40551</v>
          </cell>
          <cell r="D307">
            <v>8881</v>
          </cell>
          <cell r="E307" t="str">
            <v>Figurado</v>
          </cell>
        </row>
        <row r="308">
          <cell r="A308">
            <v>1000016995</v>
          </cell>
          <cell r="B308">
            <v>40546</v>
          </cell>
          <cell r="D308">
            <v>35004</v>
          </cell>
          <cell r="E308" t="str">
            <v>Materia Prima</v>
          </cell>
        </row>
        <row r="309">
          <cell r="A309">
            <v>1000017063</v>
          </cell>
          <cell r="B309">
            <v>40548</v>
          </cell>
          <cell r="D309">
            <v>8876.83</v>
          </cell>
          <cell r="E309" t="str">
            <v>Mallas</v>
          </cell>
        </row>
        <row r="310">
          <cell r="A310">
            <v>1000017090</v>
          </cell>
          <cell r="B310">
            <v>40549</v>
          </cell>
          <cell r="D310">
            <v>2016.3</v>
          </cell>
          <cell r="E310" t="str">
            <v>Figurado</v>
          </cell>
        </row>
        <row r="311">
          <cell r="A311">
            <v>1000017137</v>
          </cell>
          <cell r="B311">
            <v>40551</v>
          </cell>
          <cell r="D311">
            <v>9961</v>
          </cell>
          <cell r="E311" t="str">
            <v>Mallas</v>
          </cell>
        </row>
        <row r="312">
          <cell r="A312">
            <v>1000017138</v>
          </cell>
          <cell r="B312">
            <v>40551</v>
          </cell>
          <cell r="D312">
            <v>136</v>
          </cell>
          <cell r="E312" t="str">
            <v>Mallas</v>
          </cell>
        </row>
        <row r="313">
          <cell r="A313">
            <v>1000017140</v>
          </cell>
          <cell r="B313">
            <v>40554</v>
          </cell>
          <cell r="D313">
            <v>10518</v>
          </cell>
          <cell r="E313" t="str">
            <v>Figurado</v>
          </cell>
        </row>
        <row r="314">
          <cell r="A314">
            <v>1000017141</v>
          </cell>
          <cell r="B314">
            <v>40554</v>
          </cell>
          <cell r="D314">
            <v>11560</v>
          </cell>
          <cell r="E314" t="str">
            <v>Figurado</v>
          </cell>
        </row>
        <row r="315">
          <cell r="A315">
            <v>1000017145</v>
          </cell>
          <cell r="B315">
            <v>40554</v>
          </cell>
          <cell r="D315">
            <v>9086.7000000000007</v>
          </cell>
          <cell r="E315" t="str">
            <v>Figurado</v>
          </cell>
        </row>
        <row r="316">
          <cell r="A316">
            <v>1000017146</v>
          </cell>
          <cell r="B316">
            <v>40554</v>
          </cell>
          <cell r="D316">
            <v>11214.3</v>
          </cell>
          <cell r="E316" t="str">
            <v>Figurado</v>
          </cell>
        </row>
        <row r="317">
          <cell r="A317">
            <v>1000017147</v>
          </cell>
          <cell r="B317">
            <v>40554</v>
          </cell>
          <cell r="D317">
            <v>200</v>
          </cell>
          <cell r="E317" t="str">
            <v>Materia Prima</v>
          </cell>
        </row>
        <row r="318">
          <cell r="A318">
            <v>1000017147</v>
          </cell>
          <cell r="B318">
            <v>40554</v>
          </cell>
          <cell r="D318">
            <v>1748.2</v>
          </cell>
          <cell r="E318" t="str">
            <v>Figurado</v>
          </cell>
        </row>
        <row r="319">
          <cell r="A319">
            <v>1000017147</v>
          </cell>
          <cell r="B319">
            <v>40554</v>
          </cell>
          <cell r="D319">
            <v>4329.6000000000004</v>
          </cell>
          <cell r="E319" t="str">
            <v>Figurado</v>
          </cell>
        </row>
        <row r="320">
          <cell r="A320">
            <v>1000017147</v>
          </cell>
          <cell r="B320">
            <v>40554</v>
          </cell>
          <cell r="D320">
            <v>137.6</v>
          </cell>
          <cell r="E320" t="str">
            <v>Figurado</v>
          </cell>
        </row>
        <row r="321">
          <cell r="A321">
            <v>1000017148</v>
          </cell>
          <cell r="B321">
            <v>40554</v>
          </cell>
          <cell r="D321">
            <v>78.400000000000006</v>
          </cell>
          <cell r="E321" t="str">
            <v>Figurado</v>
          </cell>
        </row>
        <row r="322">
          <cell r="A322">
            <v>1000017149</v>
          </cell>
          <cell r="B322">
            <v>40554</v>
          </cell>
          <cell r="D322">
            <v>101.9</v>
          </cell>
          <cell r="E322" t="str">
            <v>Figurado</v>
          </cell>
        </row>
        <row r="323">
          <cell r="A323">
            <v>1000017150</v>
          </cell>
          <cell r="B323">
            <v>40554</v>
          </cell>
          <cell r="D323">
            <v>101.9</v>
          </cell>
          <cell r="E323" t="str">
            <v>Figurado</v>
          </cell>
        </row>
        <row r="324">
          <cell r="A324">
            <v>1000017152</v>
          </cell>
          <cell r="B324">
            <v>40554</v>
          </cell>
          <cell r="D324">
            <v>4032</v>
          </cell>
          <cell r="E324" t="str">
            <v>Figurado</v>
          </cell>
        </row>
        <row r="325">
          <cell r="A325">
            <v>1000017154</v>
          </cell>
          <cell r="B325">
            <v>40554</v>
          </cell>
          <cell r="D325">
            <v>262.5</v>
          </cell>
          <cell r="E325" t="str">
            <v>Figurado</v>
          </cell>
        </row>
        <row r="326">
          <cell r="A326">
            <v>1000017155</v>
          </cell>
          <cell r="B326">
            <v>40554</v>
          </cell>
          <cell r="D326">
            <v>262.5</v>
          </cell>
          <cell r="E326" t="str">
            <v>Figurado</v>
          </cell>
        </row>
        <row r="327">
          <cell r="A327">
            <v>1000017160</v>
          </cell>
          <cell r="B327">
            <v>40554</v>
          </cell>
          <cell r="D327">
            <v>8937.9</v>
          </cell>
          <cell r="E327" t="str">
            <v>Figurado</v>
          </cell>
        </row>
        <row r="328">
          <cell r="A328">
            <v>1000017161</v>
          </cell>
          <cell r="B328">
            <v>40554</v>
          </cell>
          <cell r="D328">
            <v>5508</v>
          </cell>
          <cell r="E328" t="str">
            <v>Materia Prima</v>
          </cell>
        </row>
        <row r="329">
          <cell r="A329">
            <v>1000017161</v>
          </cell>
          <cell r="B329">
            <v>40554</v>
          </cell>
          <cell r="D329">
            <v>2400</v>
          </cell>
          <cell r="E329" t="str">
            <v>Materia Prima</v>
          </cell>
        </row>
        <row r="330">
          <cell r="A330">
            <v>1000017162</v>
          </cell>
          <cell r="B330">
            <v>40554</v>
          </cell>
          <cell r="D330">
            <v>5508</v>
          </cell>
          <cell r="E330" t="str">
            <v>Materia Prima</v>
          </cell>
        </row>
        <row r="331">
          <cell r="A331">
            <v>1000017162</v>
          </cell>
          <cell r="B331">
            <v>40554</v>
          </cell>
          <cell r="D331">
            <v>2400</v>
          </cell>
          <cell r="E331" t="str">
            <v>Materia Prima</v>
          </cell>
        </row>
        <row r="332">
          <cell r="A332">
            <v>1000017163</v>
          </cell>
          <cell r="B332">
            <v>40554</v>
          </cell>
          <cell r="D332">
            <v>7344</v>
          </cell>
          <cell r="E332" t="str">
            <v>Materia Prima</v>
          </cell>
        </row>
        <row r="333">
          <cell r="A333">
            <v>1000017163</v>
          </cell>
          <cell r="B333">
            <v>40554</v>
          </cell>
          <cell r="D333">
            <v>7200</v>
          </cell>
          <cell r="E333" t="str">
            <v>Materia Prima</v>
          </cell>
        </row>
        <row r="334">
          <cell r="A334">
            <v>1000017164</v>
          </cell>
          <cell r="B334">
            <v>40555</v>
          </cell>
          <cell r="D334">
            <v>10485.6</v>
          </cell>
          <cell r="E334" t="str">
            <v>Figurado</v>
          </cell>
        </row>
        <row r="335">
          <cell r="A335">
            <v>1000017166</v>
          </cell>
          <cell r="B335">
            <v>40555</v>
          </cell>
          <cell r="D335">
            <v>11334.7</v>
          </cell>
          <cell r="E335" t="str">
            <v>Figurado</v>
          </cell>
        </row>
        <row r="336">
          <cell r="A336">
            <v>1000017170</v>
          </cell>
          <cell r="B336">
            <v>40555</v>
          </cell>
          <cell r="D336">
            <v>1326.4</v>
          </cell>
          <cell r="E336" t="str">
            <v>Figurado</v>
          </cell>
        </row>
        <row r="337">
          <cell r="A337">
            <v>1000017170</v>
          </cell>
          <cell r="B337">
            <v>40555</v>
          </cell>
          <cell r="D337">
            <v>3993.6</v>
          </cell>
          <cell r="E337" t="str">
            <v>Figurado</v>
          </cell>
        </row>
        <row r="338">
          <cell r="A338">
            <v>1000017170</v>
          </cell>
          <cell r="B338">
            <v>40555</v>
          </cell>
          <cell r="D338">
            <v>4159.6000000000004</v>
          </cell>
          <cell r="E338" t="str">
            <v>Figurado</v>
          </cell>
        </row>
        <row r="339">
          <cell r="A339">
            <v>1000017171</v>
          </cell>
          <cell r="B339">
            <v>40555</v>
          </cell>
          <cell r="D339">
            <v>21</v>
          </cell>
          <cell r="E339" t="str">
            <v>Figurado</v>
          </cell>
        </row>
        <row r="340">
          <cell r="A340">
            <v>1000017172</v>
          </cell>
          <cell r="B340">
            <v>40555</v>
          </cell>
          <cell r="D340">
            <v>1941</v>
          </cell>
          <cell r="E340" t="str">
            <v>Figurado</v>
          </cell>
        </row>
        <row r="341">
          <cell r="A341">
            <v>1000017173</v>
          </cell>
          <cell r="B341">
            <v>40555</v>
          </cell>
          <cell r="D341">
            <v>334.6</v>
          </cell>
          <cell r="E341" t="str">
            <v>Figurado</v>
          </cell>
        </row>
        <row r="342">
          <cell r="A342">
            <v>1000017174</v>
          </cell>
          <cell r="B342">
            <v>40555</v>
          </cell>
          <cell r="D342">
            <v>6</v>
          </cell>
          <cell r="E342" t="str">
            <v>Figurado</v>
          </cell>
        </row>
        <row r="343">
          <cell r="A343">
            <v>1000017175</v>
          </cell>
          <cell r="B343">
            <v>40555</v>
          </cell>
          <cell r="D343">
            <v>846.2</v>
          </cell>
          <cell r="E343" t="str">
            <v>Figurado</v>
          </cell>
        </row>
        <row r="344">
          <cell r="A344">
            <v>1000017176</v>
          </cell>
          <cell r="B344">
            <v>40555</v>
          </cell>
          <cell r="D344">
            <v>733.1</v>
          </cell>
          <cell r="E344" t="str">
            <v>Figurado</v>
          </cell>
        </row>
        <row r="345">
          <cell r="A345">
            <v>1000017176</v>
          </cell>
          <cell r="B345">
            <v>40555</v>
          </cell>
          <cell r="D345">
            <v>4424.7</v>
          </cell>
          <cell r="E345" t="str">
            <v>Figurado</v>
          </cell>
        </row>
        <row r="346">
          <cell r="A346">
            <v>1000017176</v>
          </cell>
          <cell r="B346">
            <v>40555</v>
          </cell>
          <cell r="D346">
            <v>3526.2</v>
          </cell>
          <cell r="E346" t="str">
            <v>Figurado</v>
          </cell>
        </row>
        <row r="347">
          <cell r="A347">
            <v>1000017177</v>
          </cell>
          <cell r="B347">
            <v>40555</v>
          </cell>
          <cell r="D347">
            <v>70.599999999999994</v>
          </cell>
          <cell r="E347" t="str">
            <v>Figurado</v>
          </cell>
        </row>
        <row r="348">
          <cell r="A348">
            <v>1000017178</v>
          </cell>
          <cell r="B348">
            <v>40555</v>
          </cell>
          <cell r="D348">
            <v>13</v>
          </cell>
          <cell r="E348" t="str">
            <v>Figurado</v>
          </cell>
        </row>
        <row r="349">
          <cell r="A349">
            <v>1000017178</v>
          </cell>
          <cell r="B349">
            <v>40555</v>
          </cell>
          <cell r="D349">
            <v>409.8</v>
          </cell>
          <cell r="E349" t="str">
            <v>Figurado</v>
          </cell>
        </row>
        <row r="350">
          <cell r="A350">
            <v>1000017178</v>
          </cell>
          <cell r="B350">
            <v>40555</v>
          </cell>
          <cell r="D350">
            <v>278.39999999999998</v>
          </cell>
          <cell r="E350" t="str">
            <v>Figurado</v>
          </cell>
        </row>
        <row r="351">
          <cell r="A351">
            <v>1000017178</v>
          </cell>
          <cell r="B351">
            <v>40555</v>
          </cell>
          <cell r="D351">
            <v>21.8</v>
          </cell>
          <cell r="E351" t="str">
            <v>Figurado</v>
          </cell>
        </row>
        <row r="352">
          <cell r="A352">
            <v>1000017179</v>
          </cell>
          <cell r="B352">
            <v>40555</v>
          </cell>
          <cell r="D352">
            <v>5780.7</v>
          </cell>
          <cell r="E352" t="str">
            <v>Figurado</v>
          </cell>
        </row>
        <row r="353">
          <cell r="A353">
            <v>1000017121</v>
          </cell>
          <cell r="B353">
            <v>40550</v>
          </cell>
          <cell r="D353">
            <v>1278.72</v>
          </cell>
          <cell r="E353" t="str">
            <v>Materia Prima</v>
          </cell>
        </row>
        <row r="354">
          <cell r="A354">
            <v>1000017122</v>
          </cell>
          <cell r="B354">
            <v>40550</v>
          </cell>
          <cell r="D354">
            <v>148</v>
          </cell>
          <cell r="E354" t="str">
            <v>Materia Prima</v>
          </cell>
        </row>
        <row r="355">
          <cell r="A355">
            <v>1000017123</v>
          </cell>
          <cell r="B355">
            <v>40550</v>
          </cell>
          <cell r="D355">
            <v>305</v>
          </cell>
          <cell r="E355" t="str">
            <v>Materia Prima</v>
          </cell>
        </row>
        <row r="356">
          <cell r="A356">
            <v>1000017123</v>
          </cell>
          <cell r="B356">
            <v>40550</v>
          </cell>
          <cell r="D356">
            <v>3164.64</v>
          </cell>
          <cell r="E356" t="str">
            <v>Mallas</v>
          </cell>
        </row>
        <row r="357">
          <cell r="A357">
            <v>1000017124</v>
          </cell>
          <cell r="B357">
            <v>40550</v>
          </cell>
          <cell r="D357">
            <v>688.56</v>
          </cell>
          <cell r="E357" t="str">
            <v>Mallas</v>
          </cell>
        </row>
        <row r="358">
          <cell r="A358">
            <v>1000017124</v>
          </cell>
          <cell r="B358">
            <v>40550</v>
          </cell>
          <cell r="D358">
            <v>338.4</v>
          </cell>
          <cell r="E358" t="str">
            <v>Mallas</v>
          </cell>
        </row>
        <row r="359">
          <cell r="A359">
            <v>1000017125</v>
          </cell>
          <cell r="B359">
            <v>40550</v>
          </cell>
          <cell r="D359">
            <v>114.76</v>
          </cell>
          <cell r="E359" t="str">
            <v>Mallas</v>
          </cell>
        </row>
        <row r="360">
          <cell r="A360">
            <v>1000017126</v>
          </cell>
          <cell r="B360">
            <v>40550</v>
          </cell>
          <cell r="D360">
            <v>68</v>
          </cell>
          <cell r="E360" t="str">
            <v>Mallas</v>
          </cell>
        </row>
        <row r="361">
          <cell r="A361">
            <v>1000017151</v>
          </cell>
          <cell r="B361">
            <v>40554</v>
          </cell>
          <cell r="D361">
            <v>500</v>
          </cell>
          <cell r="E361" t="str">
            <v>Materia Prima</v>
          </cell>
        </row>
        <row r="362">
          <cell r="A362">
            <v>1000017153</v>
          </cell>
          <cell r="B362">
            <v>40554</v>
          </cell>
          <cell r="D362">
            <v>502</v>
          </cell>
          <cell r="E362" t="str">
            <v>Materia Prima</v>
          </cell>
        </row>
        <row r="363">
          <cell r="A363">
            <v>1000017156</v>
          </cell>
          <cell r="B363">
            <v>40554</v>
          </cell>
          <cell r="D363">
            <v>548</v>
          </cell>
          <cell r="E363" t="str">
            <v>Mallas</v>
          </cell>
        </row>
        <row r="364">
          <cell r="A364">
            <v>1000017158</v>
          </cell>
          <cell r="B364">
            <v>40554</v>
          </cell>
          <cell r="D364">
            <v>639.54</v>
          </cell>
          <cell r="E364" t="str">
            <v>Mallas</v>
          </cell>
        </row>
        <row r="365">
          <cell r="A365">
            <v>1000017159</v>
          </cell>
          <cell r="B365">
            <v>40554</v>
          </cell>
          <cell r="D365">
            <v>1776.5</v>
          </cell>
          <cell r="E365" t="str">
            <v>Mallas</v>
          </cell>
        </row>
        <row r="366">
          <cell r="A366">
            <v>1000017165</v>
          </cell>
          <cell r="B366">
            <v>40555</v>
          </cell>
          <cell r="D366">
            <v>5388.7</v>
          </cell>
          <cell r="E366" t="str">
            <v>Figurado</v>
          </cell>
        </row>
        <row r="367">
          <cell r="A367">
            <v>1000017167</v>
          </cell>
          <cell r="B367">
            <v>40555</v>
          </cell>
          <cell r="D367">
            <v>1349.76</v>
          </cell>
          <cell r="E367" t="str">
            <v>Mallas</v>
          </cell>
        </row>
        <row r="368">
          <cell r="A368">
            <v>1000017168</v>
          </cell>
          <cell r="B368">
            <v>40555</v>
          </cell>
          <cell r="D368">
            <v>1645.02</v>
          </cell>
          <cell r="E368" t="str">
            <v>Mallas</v>
          </cell>
        </row>
        <row r="369">
          <cell r="A369">
            <v>1000017169</v>
          </cell>
          <cell r="B369">
            <v>40555</v>
          </cell>
          <cell r="D369">
            <v>1729.38</v>
          </cell>
          <cell r="E369" t="str">
            <v>Mallas</v>
          </cell>
        </row>
        <row r="370">
          <cell r="A370">
            <v>1000017187</v>
          </cell>
          <cell r="B370">
            <v>40555</v>
          </cell>
          <cell r="D370">
            <v>771.8</v>
          </cell>
          <cell r="E370" t="str">
            <v>Figurado</v>
          </cell>
        </row>
        <row r="371">
          <cell r="A371">
            <v>1000017187</v>
          </cell>
          <cell r="B371">
            <v>40555</v>
          </cell>
          <cell r="D371">
            <v>165</v>
          </cell>
          <cell r="E371" t="str">
            <v>Figurado</v>
          </cell>
        </row>
        <row r="372">
          <cell r="A372">
            <v>1000017188</v>
          </cell>
          <cell r="B372">
            <v>40555</v>
          </cell>
          <cell r="D372">
            <v>846.7</v>
          </cell>
          <cell r="E372" t="str">
            <v>Figurado</v>
          </cell>
        </row>
        <row r="373">
          <cell r="A373">
            <v>1000017189</v>
          </cell>
          <cell r="B373">
            <v>40555</v>
          </cell>
          <cell r="D373">
            <v>288</v>
          </cell>
          <cell r="E373" t="str">
            <v>Materia Prima</v>
          </cell>
        </row>
        <row r="374">
          <cell r="A374">
            <v>1000017189</v>
          </cell>
          <cell r="B374">
            <v>40555</v>
          </cell>
          <cell r="D374">
            <v>6.1</v>
          </cell>
          <cell r="E374" t="str">
            <v>Figurado</v>
          </cell>
        </row>
        <row r="375">
          <cell r="A375">
            <v>1000017189</v>
          </cell>
          <cell r="B375">
            <v>40555</v>
          </cell>
          <cell r="D375">
            <v>3119.3</v>
          </cell>
          <cell r="E375" t="str">
            <v>Figurado</v>
          </cell>
        </row>
        <row r="376">
          <cell r="A376">
            <v>1000017189</v>
          </cell>
          <cell r="B376">
            <v>40555</v>
          </cell>
          <cell r="D376">
            <v>2359.9</v>
          </cell>
          <cell r="E376" t="str">
            <v>Figurado</v>
          </cell>
        </row>
        <row r="377">
          <cell r="A377">
            <v>1000017190</v>
          </cell>
          <cell r="B377">
            <v>40555</v>
          </cell>
          <cell r="D377">
            <v>341.5</v>
          </cell>
          <cell r="E377" t="str">
            <v>Figurado</v>
          </cell>
        </row>
        <row r="378">
          <cell r="A378">
            <v>1000017190</v>
          </cell>
          <cell r="B378">
            <v>40555</v>
          </cell>
          <cell r="D378">
            <v>609</v>
          </cell>
          <cell r="E378" t="str">
            <v>Figurado</v>
          </cell>
        </row>
        <row r="379">
          <cell r="A379">
            <v>1000017196</v>
          </cell>
          <cell r="B379">
            <v>40556</v>
          </cell>
          <cell r="D379">
            <v>3575.8</v>
          </cell>
          <cell r="E379" t="str">
            <v>Figurado</v>
          </cell>
        </row>
        <row r="380">
          <cell r="A380">
            <v>1000017196</v>
          </cell>
          <cell r="B380">
            <v>40556</v>
          </cell>
          <cell r="D380">
            <v>323.60000000000002</v>
          </cell>
          <cell r="E380" t="str">
            <v>Figurado</v>
          </cell>
        </row>
        <row r="381">
          <cell r="A381">
            <v>1000017196</v>
          </cell>
          <cell r="B381">
            <v>40556</v>
          </cell>
          <cell r="D381">
            <v>3204</v>
          </cell>
          <cell r="E381" t="str">
            <v>Figurado</v>
          </cell>
        </row>
        <row r="382">
          <cell r="A382">
            <v>1000017202</v>
          </cell>
          <cell r="B382">
            <v>40556</v>
          </cell>
          <cell r="D382">
            <v>2326.1</v>
          </cell>
          <cell r="E382" t="str">
            <v>Figurado</v>
          </cell>
        </row>
        <row r="383">
          <cell r="A383">
            <v>1000017091</v>
          </cell>
          <cell r="B383">
            <v>40549</v>
          </cell>
          <cell r="D383">
            <v>811.9</v>
          </cell>
          <cell r="E383" t="str">
            <v>Figurado</v>
          </cell>
        </row>
        <row r="384">
          <cell r="A384">
            <v>1000017091</v>
          </cell>
          <cell r="B384">
            <v>40549</v>
          </cell>
          <cell r="D384">
            <v>491</v>
          </cell>
          <cell r="E384" t="str">
            <v>Figurado</v>
          </cell>
        </row>
        <row r="385">
          <cell r="A385">
            <v>1000017091</v>
          </cell>
          <cell r="B385">
            <v>40549</v>
          </cell>
          <cell r="D385">
            <v>338.8</v>
          </cell>
          <cell r="E385" t="str">
            <v>Figurado</v>
          </cell>
        </row>
        <row r="386">
          <cell r="A386">
            <v>1000017091</v>
          </cell>
          <cell r="B386">
            <v>40549</v>
          </cell>
          <cell r="D386">
            <v>186.3</v>
          </cell>
          <cell r="E386" t="str">
            <v>Figurado</v>
          </cell>
        </row>
        <row r="387">
          <cell r="A387">
            <v>1000017092</v>
          </cell>
          <cell r="B387">
            <v>40549</v>
          </cell>
          <cell r="D387">
            <v>30.6</v>
          </cell>
          <cell r="E387" t="str">
            <v>Figurado</v>
          </cell>
        </row>
        <row r="388">
          <cell r="A388">
            <v>1000017092</v>
          </cell>
          <cell r="B388">
            <v>40549</v>
          </cell>
          <cell r="D388">
            <v>28.5</v>
          </cell>
          <cell r="E388" t="str">
            <v>Figurado</v>
          </cell>
        </row>
        <row r="389">
          <cell r="A389">
            <v>1000017093</v>
          </cell>
          <cell r="B389">
            <v>40549</v>
          </cell>
          <cell r="D389">
            <v>360</v>
          </cell>
          <cell r="E389" t="str">
            <v>Materia Prima</v>
          </cell>
        </row>
        <row r="390">
          <cell r="A390">
            <v>1000017094</v>
          </cell>
          <cell r="B390">
            <v>40549</v>
          </cell>
          <cell r="D390">
            <v>387.3</v>
          </cell>
          <cell r="E390" t="str">
            <v>Figurado</v>
          </cell>
        </row>
        <row r="391">
          <cell r="A391">
            <v>1000017094</v>
          </cell>
          <cell r="B391">
            <v>40549</v>
          </cell>
          <cell r="D391">
            <v>778.8</v>
          </cell>
          <cell r="E391" t="str">
            <v>Figurado</v>
          </cell>
        </row>
        <row r="392">
          <cell r="A392">
            <v>1000017094</v>
          </cell>
          <cell r="B392">
            <v>40549</v>
          </cell>
          <cell r="D392">
            <v>224</v>
          </cell>
          <cell r="E392" t="str">
            <v>Figurado</v>
          </cell>
        </row>
        <row r="393">
          <cell r="A393">
            <v>1000017094</v>
          </cell>
          <cell r="B393">
            <v>40549</v>
          </cell>
          <cell r="D393">
            <v>153.9</v>
          </cell>
          <cell r="E393" t="str">
            <v>Figurado</v>
          </cell>
        </row>
        <row r="394">
          <cell r="A394">
            <v>1000017095</v>
          </cell>
          <cell r="B394">
            <v>40549</v>
          </cell>
          <cell r="D394">
            <v>377.3</v>
          </cell>
          <cell r="E394" t="str">
            <v>Figurado</v>
          </cell>
        </row>
        <row r="395">
          <cell r="A395">
            <v>1000017095</v>
          </cell>
          <cell r="B395">
            <v>40549</v>
          </cell>
          <cell r="D395">
            <v>413.7</v>
          </cell>
          <cell r="E395" t="str">
            <v>Figurado</v>
          </cell>
        </row>
        <row r="396">
          <cell r="A396">
            <v>1000017095</v>
          </cell>
          <cell r="B396">
            <v>40549</v>
          </cell>
          <cell r="D396">
            <v>20.3</v>
          </cell>
          <cell r="E396" t="str">
            <v>Figurado</v>
          </cell>
        </row>
        <row r="397">
          <cell r="A397">
            <v>1000017096</v>
          </cell>
          <cell r="B397">
            <v>40549</v>
          </cell>
          <cell r="D397">
            <v>652.70000000000005</v>
          </cell>
          <cell r="E397" t="str">
            <v>Figurado</v>
          </cell>
        </row>
        <row r="398">
          <cell r="A398">
            <v>1000017096</v>
          </cell>
          <cell r="B398">
            <v>40549</v>
          </cell>
          <cell r="D398">
            <v>638.5</v>
          </cell>
          <cell r="E398" t="str">
            <v>Figurado</v>
          </cell>
        </row>
        <row r="399">
          <cell r="A399">
            <v>1000017096</v>
          </cell>
          <cell r="B399">
            <v>40549</v>
          </cell>
          <cell r="D399">
            <v>130.1</v>
          </cell>
          <cell r="E399" t="str">
            <v>Figurado</v>
          </cell>
        </row>
        <row r="400">
          <cell r="A400">
            <v>1000017096</v>
          </cell>
          <cell r="B400">
            <v>40549</v>
          </cell>
          <cell r="D400">
            <v>217.6</v>
          </cell>
          <cell r="E400" t="str">
            <v>Figurado</v>
          </cell>
        </row>
        <row r="401">
          <cell r="A401">
            <v>1000017096</v>
          </cell>
          <cell r="B401">
            <v>40549</v>
          </cell>
          <cell r="D401">
            <v>24.5</v>
          </cell>
          <cell r="E401" t="str">
            <v>Figurado</v>
          </cell>
        </row>
        <row r="402">
          <cell r="A402">
            <v>1000017184</v>
          </cell>
          <cell r="B402">
            <v>40555</v>
          </cell>
          <cell r="D402">
            <v>50.4</v>
          </cell>
          <cell r="E402" t="str">
            <v>Figurado</v>
          </cell>
        </row>
        <row r="403">
          <cell r="A403">
            <v>1000017185</v>
          </cell>
          <cell r="B403">
            <v>40555</v>
          </cell>
          <cell r="D403">
            <v>11.4</v>
          </cell>
          <cell r="E403" t="str">
            <v>Figurado</v>
          </cell>
        </row>
        <row r="404">
          <cell r="A404">
            <v>1000017186</v>
          </cell>
          <cell r="B404">
            <v>40555</v>
          </cell>
          <cell r="D404">
            <v>243.5</v>
          </cell>
          <cell r="E404" t="str">
            <v>Figurado</v>
          </cell>
        </row>
        <row r="405">
          <cell r="A405">
            <v>1000017195</v>
          </cell>
          <cell r="B405">
            <v>40556</v>
          </cell>
          <cell r="D405">
            <v>11.84</v>
          </cell>
          <cell r="E405" t="str">
            <v>Materia Prima</v>
          </cell>
        </row>
        <row r="406">
          <cell r="A406">
            <v>1000017195</v>
          </cell>
          <cell r="B406">
            <v>40556</v>
          </cell>
          <cell r="D406">
            <v>14.992000000000001</v>
          </cell>
          <cell r="E406" t="str">
            <v>Materia Prima</v>
          </cell>
        </row>
        <row r="407">
          <cell r="A407">
            <v>1000017195</v>
          </cell>
          <cell r="B407">
            <v>40556</v>
          </cell>
          <cell r="D407">
            <v>18.510000000000002</v>
          </cell>
          <cell r="E407" t="str">
            <v>Materia Prima</v>
          </cell>
        </row>
        <row r="408">
          <cell r="A408">
            <v>1000017195</v>
          </cell>
          <cell r="B408">
            <v>40556</v>
          </cell>
          <cell r="D408">
            <v>1755.6</v>
          </cell>
          <cell r="E408" t="str">
            <v>Mallas</v>
          </cell>
        </row>
        <row r="409">
          <cell r="A409">
            <v>1000017195</v>
          </cell>
          <cell r="B409">
            <v>40556</v>
          </cell>
          <cell r="D409">
            <v>253.08</v>
          </cell>
          <cell r="E409" t="str">
            <v>Mallas</v>
          </cell>
        </row>
        <row r="410">
          <cell r="A410">
            <v>1000017197</v>
          </cell>
          <cell r="B410">
            <v>40556</v>
          </cell>
          <cell r="D410">
            <v>13.8825</v>
          </cell>
          <cell r="E410" t="str">
            <v>Materia Prima</v>
          </cell>
        </row>
        <row r="411">
          <cell r="A411">
            <v>1000017198</v>
          </cell>
          <cell r="B411">
            <v>40556</v>
          </cell>
          <cell r="D411">
            <v>510</v>
          </cell>
          <cell r="E411" t="str">
            <v>Materia Prima</v>
          </cell>
        </row>
        <row r="412">
          <cell r="A412">
            <v>1000017208</v>
          </cell>
          <cell r="B412">
            <v>40556</v>
          </cell>
          <cell r="D412">
            <v>372</v>
          </cell>
          <cell r="E412" t="str">
            <v>Figurado</v>
          </cell>
        </row>
        <row r="413">
          <cell r="A413">
            <v>1000017209</v>
          </cell>
          <cell r="B413">
            <v>40556</v>
          </cell>
          <cell r="D413">
            <v>672</v>
          </cell>
          <cell r="E413" t="str">
            <v>Materia Prima</v>
          </cell>
        </row>
        <row r="414">
          <cell r="A414">
            <v>1000017210</v>
          </cell>
          <cell r="B414">
            <v>40556</v>
          </cell>
          <cell r="D414">
            <v>68.8</v>
          </cell>
          <cell r="E414" t="str">
            <v>Figurado</v>
          </cell>
        </row>
        <row r="415">
          <cell r="A415">
            <v>1000017210</v>
          </cell>
          <cell r="B415">
            <v>40556</v>
          </cell>
          <cell r="D415">
            <v>49.6</v>
          </cell>
          <cell r="E415" t="str">
            <v>Figurado</v>
          </cell>
        </row>
        <row r="416">
          <cell r="A416">
            <v>1000017211</v>
          </cell>
          <cell r="B416">
            <v>40556</v>
          </cell>
          <cell r="D416">
            <v>93.4</v>
          </cell>
          <cell r="E416" t="str">
            <v>Figurado</v>
          </cell>
        </row>
        <row r="417">
          <cell r="A417">
            <v>1000017212</v>
          </cell>
          <cell r="B417">
            <v>40556</v>
          </cell>
          <cell r="D417">
            <v>954.2</v>
          </cell>
          <cell r="E417" t="str">
            <v>Figurado</v>
          </cell>
        </row>
        <row r="418">
          <cell r="A418">
            <v>1000017213</v>
          </cell>
          <cell r="B418">
            <v>40556</v>
          </cell>
          <cell r="D418">
            <v>112</v>
          </cell>
          <cell r="E418" t="str">
            <v>Figurado</v>
          </cell>
        </row>
        <row r="419">
          <cell r="A419">
            <v>1000017214</v>
          </cell>
          <cell r="B419">
            <v>40556</v>
          </cell>
          <cell r="D419">
            <v>33.6</v>
          </cell>
          <cell r="E419" t="str">
            <v>Materia Prima</v>
          </cell>
        </row>
        <row r="420">
          <cell r="A420">
            <v>1000017214</v>
          </cell>
          <cell r="B420">
            <v>40556</v>
          </cell>
          <cell r="D420">
            <v>60</v>
          </cell>
          <cell r="E420" t="str">
            <v>Materia Prima</v>
          </cell>
        </row>
        <row r="421">
          <cell r="A421">
            <v>1000017214</v>
          </cell>
          <cell r="B421">
            <v>40556</v>
          </cell>
          <cell r="D421">
            <v>293.8</v>
          </cell>
          <cell r="E421" t="str">
            <v>Materia Prima</v>
          </cell>
        </row>
        <row r="422">
          <cell r="A422">
            <v>1000017214</v>
          </cell>
          <cell r="B422">
            <v>40556</v>
          </cell>
          <cell r="D422">
            <v>163.69999999999999</v>
          </cell>
          <cell r="E422" t="str">
            <v>Figurado</v>
          </cell>
        </row>
        <row r="423">
          <cell r="A423">
            <v>1000017215</v>
          </cell>
          <cell r="B423">
            <v>40556</v>
          </cell>
          <cell r="D423">
            <v>268.8</v>
          </cell>
          <cell r="E423" t="str">
            <v>Materia Prima</v>
          </cell>
        </row>
        <row r="424">
          <cell r="A424">
            <v>1000017215</v>
          </cell>
          <cell r="B424">
            <v>40556</v>
          </cell>
          <cell r="D424">
            <v>861</v>
          </cell>
          <cell r="E424" t="str">
            <v>Figurado</v>
          </cell>
        </row>
        <row r="425">
          <cell r="A425">
            <v>1000017216</v>
          </cell>
          <cell r="B425">
            <v>40556</v>
          </cell>
          <cell r="D425">
            <v>360</v>
          </cell>
          <cell r="E425" t="str">
            <v>Materia Prima</v>
          </cell>
        </row>
        <row r="426">
          <cell r="A426">
            <v>1000017217</v>
          </cell>
          <cell r="B426">
            <v>40556</v>
          </cell>
          <cell r="D426">
            <v>201.6</v>
          </cell>
          <cell r="E426" t="str">
            <v>Materia Prima</v>
          </cell>
        </row>
        <row r="427">
          <cell r="A427">
            <v>1000017217</v>
          </cell>
          <cell r="B427">
            <v>40556</v>
          </cell>
          <cell r="D427">
            <v>360</v>
          </cell>
          <cell r="E427" t="str">
            <v>Materia Prima</v>
          </cell>
        </row>
        <row r="428">
          <cell r="A428">
            <v>1000017218</v>
          </cell>
          <cell r="B428">
            <v>40556</v>
          </cell>
          <cell r="D428">
            <v>771</v>
          </cell>
          <cell r="E428" t="str">
            <v>Figurado</v>
          </cell>
        </row>
        <row r="429">
          <cell r="A429">
            <v>1000017223</v>
          </cell>
          <cell r="B429">
            <v>40556</v>
          </cell>
          <cell r="D429">
            <v>544.29999999999995</v>
          </cell>
          <cell r="E429" t="str">
            <v>Materia Prima</v>
          </cell>
        </row>
        <row r="430">
          <cell r="A430">
            <v>1000017223</v>
          </cell>
          <cell r="B430">
            <v>40556</v>
          </cell>
          <cell r="D430">
            <v>312</v>
          </cell>
          <cell r="E430" t="str">
            <v>Materia Prima</v>
          </cell>
        </row>
        <row r="431">
          <cell r="A431">
            <v>1000017223</v>
          </cell>
          <cell r="B431">
            <v>40556</v>
          </cell>
          <cell r="D431">
            <v>146.9</v>
          </cell>
          <cell r="E431" t="str">
            <v>Materia Prima</v>
          </cell>
        </row>
        <row r="432">
          <cell r="A432">
            <v>1000017223</v>
          </cell>
          <cell r="B432">
            <v>40556</v>
          </cell>
          <cell r="D432">
            <v>285.39999999999998</v>
          </cell>
          <cell r="E432" t="str">
            <v>Figurado</v>
          </cell>
        </row>
        <row r="433">
          <cell r="A433">
            <v>1000017223</v>
          </cell>
          <cell r="B433">
            <v>40556</v>
          </cell>
          <cell r="D433">
            <v>1843.1</v>
          </cell>
          <cell r="E433" t="str">
            <v>Figurado</v>
          </cell>
        </row>
        <row r="434">
          <cell r="A434">
            <v>1000017223</v>
          </cell>
          <cell r="B434">
            <v>40556</v>
          </cell>
          <cell r="D434">
            <v>1544.6</v>
          </cell>
          <cell r="E434" t="str">
            <v>Figurado</v>
          </cell>
        </row>
        <row r="435">
          <cell r="A435">
            <v>1000017223</v>
          </cell>
          <cell r="B435">
            <v>40556</v>
          </cell>
          <cell r="D435">
            <v>1134.3</v>
          </cell>
          <cell r="E435" t="str">
            <v>Figurado</v>
          </cell>
        </row>
        <row r="436">
          <cell r="A436">
            <v>1000017223</v>
          </cell>
          <cell r="B436">
            <v>40556</v>
          </cell>
          <cell r="D436">
            <v>1239.5999999999999</v>
          </cell>
          <cell r="E436" t="str">
            <v>Figurado</v>
          </cell>
        </row>
        <row r="437">
          <cell r="A437">
            <v>1000017223</v>
          </cell>
          <cell r="B437">
            <v>40556</v>
          </cell>
          <cell r="D437">
            <v>459.6</v>
          </cell>
          <cell r="E437" t="str">
            <v>Figurado</v>
          </cell>
        </row>
        <row r="438">
          <cell r="A438">
            <v>1000017224</v>
          </cell>
          <cell r="B438">
            <v>40556</v>
          </cell>
          <cell r="D438">
            <v>12049.8</v>
          </cell>
          <cell r="E438" t="str">
            <v>Mallas</v>
          </cell>
        </row>
        <row r="439">
          <cell r="A439">
            <v>1000017225</v>
          </cell>
          <cell r="B439">
            <v>40556</v>
          </cell>
          <cell r="D439">
            <v>12049.8</v>
          </cell>
          <cell r="E439" t="str">
            <v>Mallas</v>
          </cell>
        </row>
        <row r="440">
          <cell r="A440">
            <v>1000017226</v>
          </cell>
          <cell r="B440">
            <v>40556</v>
          </cell>
          <cell r="D440">
            <v>9831.36</v>
          </cell>
          <cell r="E440" t="str">
            <v>Materia Prima</v>
          </cell>
        </row>
        <row r="441">
          <cell r="A441">
            <v>1000017226</v>
          </cell>
          <cell r="B441">
            <v>40556</v>
          </cell>
          <cell r="D441">
            <v>5994.6</v>
          </cell>
          <cell r="E441" t="str">
            <v>Materia Prima</v>
          </cell>
        </row>
        <row r="442">
          <cell r="A442">
            <v>1000017226</v>
          </cell>
          <cell r="B442">
            <v>40556</v>
          </cell>
          <cell r="D442">
            <v>13635.3</v>
          </cell>
          <cell r="E442" t="str">
            <v>Materia Prima</v>
          </cell>
        </row>
        <row r="443">
          <cell r="A443">
            <v>1000017227</v>
          </cell>
          <cell r="B443">
            <v>40556</v>
          </cell>
          <cell r="D443">
            <v>1998.21</v>
          </cell>
          <cell r="E443" t="str">
            <v>Materia Prima</v>
          </cell>
        </row>
        <row r="444">
          <cell r="A444">
            <v>1000017228</v>
          </cell>
          <cell r="B444">
            <v>40556</v>
          </cell>
          <cell r="D444">
            <v>5052.8</v>
          </cell>
          <cell r="E444" t="str">
            <v>Figurado</v>
          </cell>
        </row>
        <row r="445">
          <cell r="A445">
            <v>1000017228</v>
          </cell>
          <cell r="B445">
            <v>40556</v>
          </cell>
          <cell r="D445">
            <v>6966.4</v>
          </cell>
          <cell r="E445" t="str">
            <v>Figurado</v>
          </cell>
        </row>
        <row r="446">
          <cell r="A446">
            <v>1000017230</v>
          </cell>
          <cell r="B446">
            <v>40556</v>
          </cell>
          <cell r="D446">
            <v>541.6</v>
          </cell>
          <cell r="E446" t="str">
            <v>Figurado</v>
          </cell>
        </row>
        <row r="447">
          <cell r="A447">
            <v>1000017230</v>
          </cell>
          <cell r="B447">
            <v>40556</v>
          </cell>
          <cell r="D447">
            <v>345.6</v>
          </cell>
          <cell r="E447" t="str">
            <v>Figurado</v>
          </cell>
        </row>
        <row r="448">
          <cell r="A448">
            <v>1000017231</v>
          </cell>
          <cell r="B448">
            <v>40556</v>
          </cell>
          <cell r="D448">
            <v>80.599999999999994</v>
          </cell>
          <cell r="E448" t="str">
            <v>Materia Prima</v>
          </cell>
        </row>
        <row r="449">
          <cell r="A449">
            <v>1000017231</v>
          </cell>
          <cell r="B449">
            <v>40556</v>
          </cell>
          <cell r="D449">
            <v>889.8</v>
          </cell>
          <cell r="E449" t="str">
            <v>Figurado</v>
          </cell>
        </row>
        <row r="450">
          <cell r="A450">
            <v>1000017231</v>
          </cell>
          <cell r="B450">
            <v>40556</v>
          </cell>
          <cell r="D450">
            <v>3907.2</v>
          </cell>
          <cell r="E450" t="str">
            <v>Figurado</v>
          </cell>
        </row>
        <row r="451">
          <cell r="A451">
            <v>1000017234</v>
          </cell>
          <cell r="B451">
            <v>40557</v>
          </cell>
          <cell r="D451">
            <v>2150.4</v>
          </cell>
          <cell r="E451" t="str">
            <v>Materia Prima</v>
          </cell>
        </row>
        <row r="452">
          <cell r="A452">
            <v>1000017234</v>
          </cell>
          <cell r="B452">
            <v>40557</v>
          </cell>
          <cell r="D452">
            <v>265.60000000000002</v>
          </cell>
          <cell r="E452" t="str">
            <v>Figurado</v>
          </cell>
        </row>
        <row r="453">
          <cell r="A453">
            <v>1000017234</v>
          </cell>
          <cell r="B453">
            <v>40557</v>
          </cell>
          <cell r="D453">
            <v>698.4</v>
          </cell>
          <cell r="E453" t="str">
            <v>Figurado</v>
          </cell>
        </row>
        <row r="454">
          <cell r="A454">
            <v>1000017234</v>
          </cell>
          <cell r="B454">
            <v>40557</v>
          </cell>
          <cell r="D454">
            <v>608</v>
          </cell>
          <cell r="E454" t="str">
            <v>Figurado</v>
          </cell>
        </row>
        <row r="455">
          <cell r="A455">
            <v>1000017235</v>
          </cell>
          <cell r="B455">
            <v>40557</v>
          </cell>
          <cell r="D455">
            <v>6704.3</v>
          </cell>
          <cell r="E455" t="str">
            <v>Figurado</v>
          </cell>
        </row>
        <row r="456">
          <cell r="A456">
            <v>1000017238</v>
          </cell>
          <cell r="B456">
            <v>40557</v>
          </cell>
          <cell r="D456">
            <v>500</v>
          </cell>
          <cell r="E456" t="str">
            <v>Materia Prima</v>
          </cell>
        </row>
        <row r="457">
          <cell r="A457">
            <v>1000017239</v>
          </cell>
          <cell r="B457">
            <v>40557</v>
          </cell>
          <cell r="D457">
            <v>5701</v>
          </cell>
          <cell r="E457" t="str">
            <v>Figurado</v>
          </cell>
        </row>
        <row r="458">
          <cell r="A458">
            <v>1000017240</v>
          </cell>
          <cell r="B458">
            <v>40557</v>
          </cell>
          <cell r="D458">
            <v>11128.8</v>
          </cell>
          <cell r="E458" t="str">
            <v>Figurado</v>
          </cell>
        </row>
        <row r="459">
          <cell r="A459">
            <v>1000017241</v>
          </cell>
          <cell r="B459">
            <v>40557</v>
          </cell>
          <cell r="D459">
            <v>1367.1</v>
          </cell>
          <cell r="E459" t="str">
            <v>Figurado</v>
          </cell>
        </row>
        <row r="460">
          <cell r="A460">
            <v>1000017241</v>
          </cell>
          <cell r="B460">
            <v>40557</v>
          </cell>
          <cell r="D460">
            <v>4120</v>
          </cell>
          <cell r="E460" t="str">
            <v>Figurado</v>
          </cell>
        </row>
        <row r="461">
          <cell r="A461">
            <v>1000017241</v>
          </cell>
          <cell r="B461">
            <v>40557</v>
          </cell>
          <cell r="D461">
            <v>829.4</v>
          </cell>
          <cell r="E461" t="str">
            <v>Figurado</v>
          </cell>
        </row>
        <row r="462">
          <cell r="A462">
            <v>1000017242</v>
          </cell>
          <cell r="B462">
            <v>40557</v>
          </cell>
          <cell r="D462">
            <v>1164</v>
          </cell>
          <cell r="E462" t="str">
            <v>Figurado</v>
          </cell>
        </row>
        <row r="463">
          <cell r="A463">
            <v>1000017242</v>
          </cell>
          <cell r="B463">
            <v>40557</v>
          </cell>
          <cell r="D463">
            <v>163.80000000000001</v>
          </cell>
          <cell r="E463" t="str">
            <v>Figurado</v>
          </cell>
        </row>
        <row r="464">
          <cell r="A464">
            <v>1000017242</v>
          </cell>
          <cell r="B464">
            <v>40557</v>
          </cell>
          <cell r="D464">
            <v>400.8</v>
          </cell>
          <cell r="E464" t="str">
            <v>Figurado</v>
          </cell>
        </row>
        <row r="465">
          <cell r="A465">
            <v>1000017243</v>
          </cell>
          <cell r="B465">
            <v>40557</v>
          </cell>
          <cell r="D465">
            <v>150.5</v>
          </cell>
          <cell r="E465" t="str">
            <v>Figurado</v>
          </cell>
        </row>
        <row r="466">
          <cell r="A466">
            <v>1000017243</v>
          </cell>
          <cell r="B466">
            <v>40557</v>
          </cell>
          <cell r="D466">
            <v>1012.5</v>
          </cell>
          <cell r="E466" t="str">
            <v>Figurado</v>
          </cell>
        </row>
        <row r="467">
          <cell r="A467">
            <v>1000017243</v>
          </cell>
          <cell r="B467">
            <v>40557</v>
          </cell>
          <cell r="D467">
            <v>180</v>
          </cell>
          <cell r="E467" t="str">
            <v>Figurado</v>
          </cell>
        </row>
        <row r="468">
          <cell r="A468">
            <v>1000017243</v>
          </cell>
          <cell r="B468">
            <v>40557</v>
          </cell>
          <cell r="D468">
            <v>314.3</v>
          </cell>
          <cell r="E468" t="str">
            <v>Figurado</v>
          </cell>
        </row>
        <row r="469">
          <cell r="A469">
            <v>1000017243</v>
          </cell>
          <cell r="B469">
            <v>40557</v>
          </cell>
          <cell r="D469">
            <v>79.2</v>
          </cell>
          <cell r="E469" t="str">
            <v>Figurado</v>
          </cell>
        </row>
        <row r="470">
          <cell r="A470">
            <v>1000017245</v>
          </cell>
          <cell r="B470">
            <v>40557</v>
          </cell>
          <cell r="D470">
            <v>374.3</v>
          </cell>
          <cell r="E470" t="str">
            <v>Figurado</v>
          </cell>
        </row>
        <row r="471">
          <cell r="A471">
            <v>1000017246</v>
          </cell>
          <cell r="B471">
            <v>40557</v>
          </cell>
          <cell r="D471">
            <v>247.6</v>
          </cell>
          <cell r="E471" t="str">
            <v>Figurado</v>
          </cell>
        </row>
        <row r="472">
          <cell r="A472">
            <v>1000017246</v>
          </cell>
          <cell r="B472">
            <v>40557</v>
          </cell>
          <cell r="D472">
            <v>4987.2</v>
          </cell>
          <cell r="E472" t="str">
            <v>Figurado</v>
          </cell>
        </row>
        <row r="473">
          <cell r="A473">
            <v>1000017246</v>
          </cell>
          <cell r="B473">
            <v>40557</v>
          </cell>
          <cell r="D473">
            <v>3950.2</v>
          </cell>
          <cell r="E473" t="str">
            <v>Figurado</v>
          </cell>
        </row>
        <row r="474">
          <cell r="A474">
            <v>1000017248</v>
          </cell>
          <cell r="B474">
            <v>40557</v>
          </cell>
          <cell r="D474">
            <v>33114</v>
          </cell>
          <cell r="E474" t="str">
            <v>Materia Prima</v>
          </cell>
        </row>
        <row r="475">
          <cell r="A475">
            <v>1000017250</v>
          </cell>
          <cell r="B475">
            <v>40557</v>
          </cell>
          <cell r="D475">
            <v>860.7</v>
          </cell>
          <cell r="E475" t="str">
            <v>Mallas</v>
          </cell>
        </row>
        <row r="476">
          <cell r="A476">
            <v>1000017251</v>
          </cell>
          <cell r="B476">
            <v>40557</v>
          </cell>
          <cell r="D476">
            <v>8033.2</v>
          </cell>
          <cell r="E476" t="str">
            <v>Mallas</v>
          </cell>
        </row>
        <row r="477">
          <cell r="A477">
            <v>1000017261</v>
          </cell>
          <cell r="B477">
            <v>40558</v>
          </cell>
          <cell r="D477">
            <v>1322.5</v>
          </cell>
          <cell r="E477" t="str">
            <v>Figurado</v>
          </cell>
        </row>
        <row r="478">
          <cell r="A478">
            <v>1000017262</v>
          </cell>
          <cell r="B478">
            <v>40558</v>
          </cell>
          <cell r="D478">
            <v>4674.8</v>
          </cell>
          <cell r="E478" t="str">
            <v>Figurado</v>
          </cell>
        </row>
        <row r="479">
          <cell r="A479">
            <v>1000017263</v>
          </cell>
          <cell r="B479">
            <v>40558</v>
          </cell>
          <cell r="D479">
            <v>3371.3</v>
          </cell>
          <cell r="E479" t="str">
            <v>Figurado</v>
          </cell>
        </row>
        <row r="480">
          <cell r="A480">
            <v>1000017271</v>
          </cell>
          <cell r="B480">
            <v>40558</v>
          </cell>
          <cell r="D480">
            <v>144</v>
          </cell>
          <cell r="E480" t="str">
            <v>Materia Prima</v>
          </cell>
        </row>
        <row r="481">
          <cell r="A481">
            <v>1000017271</v>
          </cell>
          <cell r="B481">
            <v>40558</v>
          </cell>
          <cell r="D481">
            <v>96</v>
          </cell>
          <cell r="E481" t="str">
            <v>Materia Prima</v>
          </cell>
        </row>
        <row r="482">
          <cell r="A482">
            <v>1000017271</v>
          </cell>
          <cell r="B482">
            <v>40558</v>
          </cell>
          <cell r="D482">
            <v>253.8</v>
          </cell>
          <cell r="E482" t="str">
            <v>Figurado</v>
          </cell>
        </row>
        <row r="483">
          <cell r="A483">
            <v>1000017271</v>
          </cell>
          <cell r="B483">
            <v>40558</v>
          </cell>
          <cell r="D483">
            <v>3862.4</v>
          </cell>
          <cell r="E483" t="str">
            <v>Figurado</v>
          </cell>
        </row>
        <row r="484">
          <cell r="A484">
            <v>1000017271</v>
          </cell>
          <cell r="B484">
            <v>40558</v>
          </cell>
          <cell r="D484">
            <v>4796.3999999999996</v>
          </cell>
          <cell r="E484" t="str">
            <v>Figurado</v>
          </cell>
        </row>
        <row r="485">
          <cell r="A485">
            <v>1000017275</v>
          </cell>
          <cell r="B485">
            <v>40558</v>
          </cell>
          <cell r="D485">
            <v>315.8</v>
          </cell>
          <cell r="E485" t="str">
            <v>Figurado</v>
          </cell>
        </row>
        <row r="486">
          <cell r="A486">
            <v>1000017275</v>
          </cell>
          <cell r="B486">
            <v>40558</v>
          </cell>
          <cell r="D486">
            <v>1546</v>
          </cell>
          <cell r="E486" t="str">
            <v>Figurado</v>
          </cell>
        </row>
        <row r="487">
          <cell r="A487">
            <v>1000017275</v>
          </cell>
          <cell r="B487">
            <v>40558</v>
          </cell>
          <cell r="D487">
            <v>79.599999999999994</v>
          </cell>
          <cell r="E487" t="str">
            <v>Figurado</v>
          </cell>
        </row>
        <row r="488">
          <cell r="A488">
            <v>1000017275</v>
          </cell>
          <cell r="B488">
            <v>40558</v>
          </cell>
          <cell r="D488">
            <v>81</v>
          </cell>
          <cell r="E488" t="str">
            <v>Figurado</v>
          </cell>
        </row>
        <row r="489">
          <cell r="A489">
            <v>1000017276</v>
          </cell>
          <cell r="B489">
            <v>40558</v>
          </cell>
          <cell r="D489">
            <v>233.6</v>
          </cell>
          <cell r="E489" t="str">
            <v>Figurado</v>
          </cell>
        </row>
        <row r="490">
          <cell r="A490">
            <v>1000017276</v>
          </cell>
          <cell r="B490">
            <v>40558</v>
          </cell>
          <cell r="D490">
            <v>916.8</v>
          </cell>
          <cell r="E490" t="str">
            <v>Figurado</v>
          </cell>
        </row>
        <row r="491">
          <cell r="A491">
            <v>1000017276</v>
          </cell>
          <cell r="B491">
            <v>40558</v>
          </cell>
          <cell r="D491">
            <v>16</v>
          </cell>
          <cell r="E491" t="str">
            <v>Figurado</v>
          </cell>
        </row>
        <row r="492">
          <cell r="A492">
            <v>1000017276</v>
          </cell>
          <cell r="B492">
            <v>40558</v>
          </cell>
          <cell r="D492">
            <v>105.5</v>
          </cell>
          <cell r="E492" t="str">
            <v>Figurado</v>
          </cell>
        </row>
        <row r="493">
          <cell r="A493">
            <v>1000017277</v>
          </cell>
          <cell r="B493">
            <v>40558</v>
          </cell>
          <cell r="D493">
            <v>67.2</v>
          </cell>
          <cell r="E493" t="str">
            <v>Materia Prima</v>
          </cell>
        </row>
        <row r="494">
          <cell r="A494">
            <v>1000017277</v>
          </cell>
          <cell r="B494">
            <v>40558</v>
          </cell>
          <cell r="D494">
            <v>240</v>
          </cell>
          <cell r="E494" t="str">
            <v>Materia Prima</v>
          </cell>
        </row>
        <row r="495">
          <cell r="A495">
            <v>1000017277</v>
          </cell>
          <cell r="B495">
            <v>40558</v>
          </cell>
          <cell r="D495">
            <v>400</v>
          </cell>
          <cell r="E495" t="str">
            <v>Figurado</v>
          </cell>
        </row>
        <row r="496">
          <cell r="A496">
            <v>1000017280</v>
          </cell>
          <cell r="B496">
            <v>40558</v>
          </cell>
          <cell r="D496">
            <v>1123.2</v>
          </cell>
          <cell r="E496" t="str">
            <v>Materia Prima</v>
          </cell>
        </row>
        <row r="497">
          <cell r="A497">
            <v>1000017280</v>
          </cell>
          <cell r="B497">
            <v>40558</v>
          </cell>
          <cell r="D497">
            <v>8587.2999999999993</v>
          </cell>
          <cell r="E497" t="str">
            <v>Figurado</v>
          </cell>
        </row>
        <row r="498">
          <cell r="A498">
            <v>1000017252</v>
          </cell>
          <cell r="B498">
            <v>40557</v>
          </cell>
          <cell r="D498">
            <v>31971.5</v>
          </cell>
          <cell r="E498" t="str">
            <v>Materia Prima</v>
          </cell>
        </row>
        <row r="499">
          <cell r="A499">
            <v>1000017182</v>
          </cell>
          <cell r="B499">
            <v>40555</v>
          </cell>
          <cell r="D499">
            <v>16.100000000000001</v>
          </cell>
          <cell r="E499" t="str">
            <v>Figurado</v>
          </cell>
        </row>
        <row r="500">
          <cell r="A500">
            <v>1000017182</v>
          </cell>
          <cell r="B500">
            <v>40555</v>
          </cell>
          <cell r="D500">
            <v>947.1</v>
          </cell>
          <cell r="E500" t="str">
            <v>Figurado</v>
          </cell>
        </row>
        <row r="501">
          <cell r="A501">
            <v>1000017182</v>
          </cell>
          <cell r="B501">
            <v>40555</v>
          </cell>
          <cell r="D501">
            <v>769.7</v>
          </cell>
          <cell r="E501" t="str">
            <v>Figurado</v>
          </cell>
        </row>
        <row r="502">
          <cell r="A502">
            <v>1000017182</v>
          </cell>
          <cell r="B502">
            <v>40555</v>
          </cell>
          <cell r="D502">
            <v>82.8</v>
          </cell>
          <cell r="E502" t="str">
            <v>Figurado</v>
          </cell>
        </row>
        <row r="503">
          <cell r="A503">
            <v>1000017183</v>
          </cell>
          <cell r="B503">
            <v>40555</v>
          </cell>
          <cell r="D503">
            <v>37.6</v>
          </cell>
          <cell r="E503" t="str">
            <v>Figurado</v>
          </cell>
        </row>
        <row r="504">
          <cell r="A504">
            <v>1000017183</v>
          </cell>
          <cell r="B504">
            <v>40555</v>
          </cell>
          <cell r="D504">
            <v>714.3</v>
          </cell>
          <cell r="E504" t="str">
            <v>Figurado</v>
          </cell>
        </row>
        <row r="505">
          <cell r="A505">
            <v>1000017183</v>
          </cell>
          <cell r="B505">
            <v>40555</v>
          </cell>
          <cell r="D505">
            <v>798.5</v>
          </cell>
          <cell r="E505" t="str">
            <v>Figurado</v>
          </cell>
        </row>
        <row r="506">
          <cell r="A506">
            <v>1000017183</v>
          </cell>
          <cell r="B506">
            <v>40555</v>
          </cell>
          <cell r="D506">
            <v>171.9</v>
          </cell>
          <cell r="E506" t="str">
            <v>Figurado</v>
          </cell>
        </row>
        <row r="507">
          <cell r="A507">
            <v>1000017183</v>
          </cell>
          <cell r="B507">
            <v>40555</v>
          </cell>
          <cell r="D507">
            <v>33.799999999999997</v>
          </cell>
          <cell r="E507" t="str">
            <v>Figurado</v>
          </cell>
        </row>
        <row r="508">
          <cell r="A508">
            <v>1000017191</v>
          </cell>
          <cell r="B508">
            <v>40556</v>
          </cell>
          <cell r="D508">
            <v>3808.1</v>
          </cell>
          <cell r="E508" t="str">
            <v>Figurado</v>
          </cell>
        </row>
        <row r="509">
          <cell r="A509">
            <v>1000017191</v>
          </cell>
          <cell r="B509">
            <v>40556</v>
          </cell>
          <cell r="D509">
            <v>1193.2</v>
          </cell>
          <cell r="E509" t="str">
            <v>Figurado</v>
          </cell>
        </row>
        <row r="510">
          <cell r="A510">
            <v>1000017191</v>
          </cell>
          <cell r="B510">
            <v>40556</v>
          </cell>
          <cell r="D510">
            <v>108</v>
          </cell>
          <cell r="E510" t="str">
            <v>Figurado</v>
          </cell>
        </row>
        <row r="511">
          <cell r="A511">
            <v>1000017192</v>
          </cell>
          <cell r="B511">
            <v>40556</v>
          </cell>
          <cell r="D511">
            <v>4811.7</v>
          </cell>
          <cell r="E511" t="str">
            <v>Figurado</v>
          </cell>
        </row>
        <row r="512">
          <cell r="A512">
            <v>1000017192</v>
          </cell>
          <cell r="B512">
            <v>40556</v>
          </cell>
          <cell r="D512">
            <v>1139.9000000000001</v>
          </cell>
          <cell r="E512" t="str">
            <v>Figurado</v>
          </cell>
        </row>
        <row r="513">
          <cell r="A513">
            <v>1000017201</v>
          </cell>
          <cell r="B513">
            <v>40556</v>
          </cell>
          <cell r="D513">
            <v>6747.3</v>
          </cell>
          <cell r="E513" t="str">
            <v>Figurado</v>
          </cell>
        </row>
        <row r="514">
          <cell r="A514">
            <v>1000017244</v>
          </cell>
          <cell r="B514">
            <v>40557</v>
          </cell>
          <cell r="D514">
            <v>6164.1</v>
          </cell>
          <cell r="E514" t="str">
            <v>Figurado</v>
          </cell>
        </row>
        <row r="515">
          <cell r="A515">
            <v>1000017244</v>
          </cell>
          <cell r="B515">
            <v>40557</v>
          </cell>
          <cell r="D515">
            <v>3490.6</v>
          </cell>
          <cell r="E515" t="str">
            <v>Figurado</v>
          </cell>
        </row>
        <row r="516">
          <cell r="A516">
            <v>1000017286</v>
          </cell>
          <cell r="B516">
            <v>40560</v>
          </cell>
          <cell r="D516">
            <v>9390.6</v>
          </cell>
          <cell r="E516" t="str">
            <v>Figurado</v>
          </cell>
        </row>
        <row r="517">
          <cell r="A517">
            <v>1000017287</v>
          </cell>
          <cell r="B517">
            <v>40560</v>
          </cell>
          <cell r="D517">
            <v>341.8</v>
          </cell>
          <cell r="E517" t="str">
            <v>Figurado</v>
          </cell>
        </row>
        <row r="518">
          <cell r="A518">
            <v>1000017287</v>
          </cell>
          <cell r="B518">
            <v>40560</v>
          </cell>
          <cell r="D518">
            <v>2449.6999999999998</v>
          </cell>
          <cell r="E518" t="str">
            <v>Figurado</v>
          </cell>
        </row>
        <row r="519">
          <cell r="A519">
            <v>1000017287</v>
          </cell>
          <cell r="B519">
            <v>40560</v>
          </cell>
          <cell r="D519">
            <v>5839.2</v>
          </cell>
          <cell r="E519" t="str">
            <v>Figurado</v>
          </cell>
        </row>
        <row r="520">
          <cell r="A520">
            <v>1000017288</v>
          </cell>
          <cell r="B520">
            <v>40560</v>
          </cell>
          <cell r="D520">
            <v>131.30000000000001</v>
          </cell>
          <cell r="E520" t="str">
            <v>Figurado</v>
          </cell>
        </row>
        <row r="521">
          <cell r="A521">
            <v>1000017292</v>
          </cell>
          <cell r="B521">
            <v>40560</v>
          </cell>
          <cell r="D521">
            <v>43.7</v>
          </cell>
          <cell r="E521" t="str">
            <v>Figurado</v>
          </cell>
        </row>
        <row r="522">
          <cell r="A522">
            <v>1000017292</v>
          </cell>
          <cell r="B522">
            <v>40560</v>
          </cell>
          <cell r="D522">
            <v>3732.7</v>
          </cell>
          <cell r="E522" t="str">
            <v>Figurado</v>
          </cell>
        </row>
        <row r="523">
          <cell r="A523">
            <v>1000017292</v>
          </cell>
          <cell r="B523">
            <v>40560</v>
          </cell>
          <cell r="D523">
            <v>7881.2</v>
          </cell>
          <cell r="E523" t="str">
            <v>Figurado</v>
          </cell>
        </row>
        <row r="524">
          <cell r="A524">
            <v>1000017300</v>
          </cell>
          <cell r="B524">
            <v>40560</v>
          </cell>
          <cell r="D524">
            <v>9806.5</v>
          </cell>
          <cell r="E524" t="str">
            <v>Figurado</v>
          </cell>
        </row>
        <row r="525">
          <cell r="A525">
            <v>1000017301</v>
          </cell>
          <cell r="B525">
            <v>40560</v>
          </cell>
          <cell r="D525">
            <v>4710</v>
          </cell>
          <cell r="E525" t="str">
            <v>Figurado</v>
          </cell>
        </row>
        <row r="526">
          <cell r="A526">
            <v>1000017302</v>
          </cell>
          <cell r="B526">
            <v>40560</v>
          </cell>
          <cell r="D526">
            <v>1787.8</v>
          </cell>
          <cell r="E526" t="str">
            <v>Figurado</v>
          </cell>
        </row>
        <row r="527">
          <cell r="A527">
            <v>1000017303</v>
          </cell>
          <cell r="B527">
            <v>40560</v>
          </cell>
          <cell r="D527">
            <v>1080</v>
          </cell>
          <cell r="E527" t="str">
            <v>Materia Prima</v>
          </cell>
        </row>
        <row r="528">
          <cell r="A528">
            <v>1000017303</v>
          </cell>
          <cell r="B528">
            <v>40560</v>
          </cell>
          <cell r="D528">
            <v>672</v>
          </cell>
          <cell r="E528" t="str">
            <v>Materia Prima</v>
          </cell>
        </row>
        <row r="529">
          <cell r="A529">
            <v>1000017353</v>
          </cell>
          <cell r="B529">
            <v>40562</v>
          </cell>
          <cell r="D529">
            <v>17200</v>
          </cell>
          <cell r="E529" t="str">
            <v>Materia Prima</v>
          </cell>
        </row>
        <row r="530">
          <cell r="A530">
            <v>1000017353</v>
          </cell>
          <cell r="B530">
            <v>40562</v>
          </cell>
          <cell r="D530">
            <v>14620</v>
          </cell>
          <cell r="E530" t="str">
            <v>Materia Prima</v>
          </cell>
        </row>
        <row r="531">
          <cell r="A531">
            <v>1000017353</v>
          </cell>
          <cell r="B531">
            <v>40562</v>
          </cell>
          <cell r="D531">
            <v>0</v>
          </cell>
          <cell r="E531" t="str">
            <v>Materia Prima</v>
          </cell>
        </row>
        <row r="532">
          <cell r="A532">
            <v>1000017011</v>
          </cell>
          <cell r="B532">
            <v>40547</v>
          </cell>
          <cell r="D532">
            <v>3487.1</v>
          </cell>
          <cell r="E532" t="str">
            <v>Figurado</v>
          </cell>
        </row>
        <row r="533">
          <cell r="A533">
            <v>1000017011</v>
          </cell>
          <cell r="B533">
            <v>40547</v>
          </cell>
          <cell r="D533">
            <v>1847.4</v>
          </cell>
          <cell r="E533" t="str">
            <v>Figurado</v>
          </cell>
        </row>
        <row r="534">
          <cell r="A534">
            <v>1000017011</v>
          </cell>
          <cell r="B534">
            <v>40547</v>
          </cell>
          <cell r="D534">
            <v>2443.1</v>
          </cell>
          <cell r="E534" t="str">
            <v>Figurado</v>
          </cell>
        </row>
        <row r="535">
          <cell r="A535">
            <v>1000017011</v>
          </cell>
          <cell r="B535">
            <v>40547</v>
          </cell>
          <cell r="D535">
            <v>1844.4</v>
          </cell>
          <cell r="E535" t="str">
            <v>Figurado</v>
          </cell>
        </row>
        <row r="536">
          <cell r="A536">
            <v>1000017012</v>
          </cell>
          <cell r="B536">
            <v>40547</v>
          </cell>
          <cell r="D536">
            <v>498.7</v>
          </cell>
          <cell r="E536" t="str">
            <v>Figurado</v>
          </cell>
        </row>
        <row r="537">
          <cell r="A537">
            <v>1000017180</v>
          </cell>
          <cell r="B537">
            <v>40555</v>
          </cell>
          <cell r="D537">
            <v>54.8</v>
          </cell>
          <cell r="E537" t="str">
            <v>Figurado</v>
          </cell>
        </row>
        <row r="538">
          <cell r="A538">
            <v>1000017180</v>
          </cell>
          <cell r="B538">
            <v>40555</v>
          </cell>
          <cell r="D538">
            <v>8361.4</v>
          </cell>
          <cell r="E538" t="str">
            <v>Figurado</v>
          </cell>
        </row>
        <row r="539">
          <cell r="A539">
            <v>1000017180</v>
          </cell>
          <cell r="B539">
            <v>40555</v>
          </cell>
          <cell r="D539">
            <v>95</v>
          </cell>
          <cell r="E539" t="str">
            <v>Figurado</v>
          </cell>
        </row>
        <row r="540">
          <cell r="A540">
            <v>1000017180</v>
          </cell>
          <cell r="B540">
            <v>40555</v>
          </cell>
          <cell r="D540">
            <v>1236.4000000000001</v>
          </cell>
          <cell r="E540" t="str">
            <v>Figurado</v>
          </cell>
        </row>
        <row r="541">
          <cell r="A541">
            <v>1000017181</v>
          </cell>
          <cell r="B541">
            <v>40555</v>
          </cell>
          <cell r="D541">
            <v>219.1</v>
          </cell>
          <cell r="E541" t="str">
            <v>Figurado</v>
          </cell>
        </row>
        <row r="542">
          <cell r="A542">
            <v>1000017199</v>
          </cell>
          <cell r="B542">
            <v>40556</v>
          </cell>
          <cell r="D542">
            <v>1412.4</v>
          </cell>
          <cell r="E542" t="str">
            <v>Figurado</v>
          </cell>
        </row>
        <row r="543">
          <cell r="A543">
            <v>1000017203</v>
          </cell>
          <cell r="B543">
            <v>40556</v>
          </cell>
          <cell r="D543">
            <v>4002.2</v>
          </cell>
          <cell r="E543" t="str">
            <v>Figurado</v>
          </cell>
        </row>
        <row r="544">
          <cell r="A544">
            <v>1000017204</v>
          </cell>
          <cell r="B544">
            <v>40556</v>
          </cell>
          <cell r="D544">
            <v>3952</v>
          </cell>
          <cell r="E544" t="str">
            <v>Mallas</v>
          </cell>
        </row>
        <row r="545">
          <cell r="A545">
            <v>1000017205</v>
          </cell>
          <cell r="B545">
            <v>40556</v>
          </cell>
          <cell r="D545">
            <v>2094.4</v>
          </cell>
          <cell r="E545" t="str">
            <v>Mallas</v>
          </cell>
        </row>
        <row r="546">
          <cell r="A546">
            <v>1000017206</v>
          </cell>
          <cell r="B546">
            <v>40556</v>
          </cell>
          <cell r="D546">
            <v>2000</v>
          </cell>
          <cell r="E546" t="str">
            <v>Materia Prima</v>
          </cell>
        </row>
        <row r="547">
          <cell r="A547">
            <v>1000017207</v>
          </cell>
          <cell r="B547">
            <v>40556</v>
          </cell>
          <cell r="D547">
            <v>520</v>
          </cell>
          <cell r="E547" t="str">
            <v>Materia Prima</v>
          </cell>
        </row>
        <row r="548">
          <cell r="A548">
            <v>1000017219</v>
          </cell>
          <cell r="B548">
            <v>40556</v>
          </cell>
          <cell r="D548">
            <v>12117.6</v>
          </cell>
          <cell r="E548" t="str">
            <v>Materia Prima</v>
          </cell>
        </row>
        <row r="549">
          <cell r="A549">
            <v>1000017219</v>
          </cell>
          <cell r="B549">
            <v>40556</v>
          </cell>
          <cell r="D549">
            <v>12000</v>
          </cell>
          <cell r="E549" t="str">
            <v>Materia Prima</v>
          </cell>
        </row>
        <row r="550">
          <cell r="A550">
            <v>1000017220</v>
          </cell>
          <cell r="B550">
            <v>40556</v>
          </cell>
          <cell r="D550">
            <v>2974.3</v>
          </cell>
          <cell r="E550" t="str">
            <v>Materia Prima</v>
          </cell>
        </row>
        <row r="551">
          <cell r="A551">
            <v>1000017221</v>
          </cell>
          <cell r="B551">
            <v>40556</v>
          </cell>
          <cell r="D551">
            <v>3084.5</v>
          </cell>
          <cell r="E551" t="str">
            <v>Materia Prima</v>
          </cell>
        </row>
        <row r="552">
          <cell r="A552">
            <v>1000017222</v>
          </cell>
          <cell r="B552">
            <v>40556</v>
          </cell>
          <cell r="D552">
            <v>3745.4</v>
          </cell>
          <cell r="E552" t="str">
            <v>Materia Prima</v>
          </cell>
        </row>
        <row r="553">
          <cell r="A553">
            <v>1000017229</v>
          </cell>
          <cell r="B553">
            <v>40556</v>
          </cell>
          <cell r="D553">
            <v>4347.2</v>
          </cell>
          <cell r="E553" t="str">
            <v>Mallas</v>
          </cell>
        </row>
        <row r="554">
          <cell r="A554">
            <v>1000017236</v>
          </cell>
          <cell r="B554">
            <v>40557</v>
          </cell>
          <cell r="D554">
            <v>29.6</v>
          </cell>
          <cell r="E554" t="str">
            <v>Figurado</v>
          </cell>
        </row>
        <row r="555">
          <cell r="A555">
            <v>1000017237</v>
          </cell>
          <cell r="B555">
            <v>40557</v>
          </cell>
          <cell r="D555">
            <v>247.8</v>
          </cell>
          <cell r="E555" t="str">
            <v>Figurado</v>
          </cell>
        </row>
        <row r="556">
          <cell r="A556">
            <v>1000017247</v>
          </cell>
          <cell r="B556">
            <v>40557</v>
          </cell>
          <cell r="D556">
            <v>34052.101600000002</v>
          </cell>
          <cell r="E556" t="str">
            <v>Materia Prima</v>
          </cell>
        </row>
        <row r="557">
          <cell r="A557">
            <v>1000017249</v>
          </cell>
          <cell r="B557">
            <v>40557</v>
          </cell>
          <cell r="D557">
            <v>2016</v>
          </cell>
          <cell r="E557" t="str">
            <v>Materia Prima</v>
          </cell>
        </row>
        <row r="558">
          <cell r="A558">
            <v>1000017249</v>
          </cell>
          <cell r="B558">
            <v>40557</v>
          </cell>
          <cell r="D558">
            <v>187.2</v>
          </cell>
          <cell r="E558" t="str">
            <v>Materia Prima</v>
          </cell>
        </row>
        <row r="559">
          <cell r="A559">
            <v>1000017249</v>
          </cell>
          <cell r="B559">
            <v>40557</v>
          </cell>
          <cell r="D559">
            <v>540</v>
          </cell>
          <cell r="E559" t="str">
            <v>Materia Prima</v>
          </cell>
        </row>
        <row r="560">
          <cell r="A560">
            <v>1000017249</v>
          </cell>
          <cell r="B560">
            <v>40557</v>
          </cell>
          <cell r="D560">
            <v>144.6</v>
          </cell>
          <cell r="E560" t="str">
            <v>Figurado</v>
          </cell>
        </row>
        <row r="561">
          <cell r="A561">
            <v>1000017253</v>
          </cell>
          <cell r="B561">
            <v>40557</v>
          </cell>
          <cell r="D561">
            <v>6406.1</v>
          </cell>
          <cell r="E561" t="str">
            <v>Figurado</v>
          </cell>
        </row>
        <row r="562">
          <cell r="A562">
            <v>1000017254</v>
          </cell>
          <cell r="B562">
            <v>40557</v>
          </cell>
          <cell r="D562">
            <v>1921.9</v>
          </cell>
          <cell r="E562" t="str">
            <v>Figurado</v>
          </cell>
        </row>
        <row r="563">
          <cell r="A563">
            <v>1000017255</v>
          </cell>
          <cell r="B563">
            <v>40557</v>
          </cell>
          <cell r="D563">
            <v>1303.8</v>
          </cell>
          <cell r="E563" t="str">
            <v>Figurado</v>
          </cell>
        </row>
        <row r="564">
          <cell r="A564">
            <v>1000017256</v>
          </cell>
          <cell r="B564">
            <v>40557</v>
          </cell>
          <cell r="D564">
            <v>989.6</v>
          </cell>
          <cell r="E564" t="str">
            <v>Figurado</v>
          </cell>
        </row>
        <row r="565">
          <cell r="A565">
            <v>1000017258</v>
          </cell>
          <cell r="B565">
            <v>40557</v>
          </cell>
          <cell r="D565">
            <v>3866</v>
          </cell>
          <cell r="E565" t="str">
            <v>Mallas</v>
          </cell>
        </row>
        <row r="566">
          <cell r="A566">
            <v>1000017259</v>
          </cell>
          <cell r="B566">
            <v>40557</v>
          </cell>
          <cell r="D566">
            <v>263</v>
          </cell>
          <cell r="E566" t="str">
            <v>Mallas</v>
          </cell>
        </row>
        <row r="567">
          <cell r="A567">
            <v>1000017260</v>
          </cell>
          <cell r="B567">
            <v>40557</v>
          </cell>
          <cell r="D567">
            <v>1017</v>
          </cell>
          <cell r="E567" t="str">
            <v>Materia Prima</v>
          </cell>
        </row>
        <row r="568">
          <cell r="A568">
            <v>1000017266</v>
          </cell>
          <cell r="B568">
            <v>40558</v>
          </cell>
          <cell r="D568">
            <v>3476.4</v>
          </cell>
          <cell r="E568" t="str">
            <v>Figurado</v>
          </cell>
        </row>
        <row r="569">
          <cell r="A569">
            <v>1000017267</v>
          </cell>
          <cell r="B569">
            <v>40558</v>
          </cell>
          <cell r="D569">
            <v>2888.6</v>
          </cell>
          <cell r="E569" t="str">
            <v>Figurado</v>
          </cell>
        </row>
        <row r="570">
          <cell r="A570">
            <v>1000017267</v>
          </cell>
          <cell r="B570">
            <v>40558</v>
          </cell>
          <cell r="D570">
            <v>2432</v>
          </cell>
          <cell r="E570" t="str">
            <v>Figurado</v>
          </cell>
        </row>
        <row r="571">
          <cell r="A571">
            <v>1000017268</v>
          </cell>
          <cell r="B571">
            <v>40558</v>
          </cell>
          <cell r="D571">
            <v>1177.9000000000001</v>
          </cell>
          <cell r="E571" t="str">
            <v>Figurado</v>
          </cell>
        </row>
        <row r="572">
          <cell r="A572">
            <v>1000017269</v>
          </cell>
          <cell r="B572">
            <v>40558</v>
          </cell>
          <cell r="D572">
            <v>112.7</v>
          </cell>
          <cell r="E572" t="str">
            <v>Figurado</v>
          </cell>
        </row>
        <row r="573">
          <cell r="A573">
            <v>1000017269</v>
          </cell>
          <cell r="B573">
            <v>40558</v>
          </cell>
          <cell r="D573">
            <v>1695.1</v>
          </cell>
          <cell r="E573" t="str">
            <v>Figurado</v>
          </cell>
        </row>
        <row r="574">
          <cell r="A574">
            <v>1000017270</v>
          </cell>
          <cell r="B574">
            <v>40558</v>
          </cell>
          <cell r="D574">
            <v>2623</v>
          </cell>
          <cell r="E574" t="str">
            <v>Figurado</v>
          </cell>
        </row>
        <row r="575">
          <cell r="A575">
            <v>1000017272</v>
          </cell>
          <cell r="B575">
            <v>40558</v>
          </cell>
          <cell r="D575">
            <v>293.8</v>
          </cell>
          <cell r="E575" t="str">
            <v>Figurado</v>
          </cell>
        </row>
        <row r="576">
          <cell r="A576">
            <v>1000017273</v>
          </cell>
          <cell r="B576">
            <v>40558</v>
          </cell>
          <cell r="D576">
            <v>1438</v>
          </cell>
          <cell r="E576" t="str">
            <v>Figurado</v>
          </cell>
        </row>
        <row r="577">
          <cell r="A577">
            <v>1000017274</v>
          </cell>
          <cell r="B577">
            <v>40558</v>
          </cell>
          <cell r="D577">
            <v>999.5</v>
          </cell>
          <cell r="E577" t="str">
            <v>Figurado</v>
          </cell>
        </row>
        <row r="578">
          <cell r="A578">
            <v>1000017278</v>
          </cell>
          <cell r="B578">
            <v>40558</v>
          </cell>
          <cell r="D578">
            <v>7372</v>
          </cell>
          <cell r="E578" t="str">
            <v>Figurado</v>
          </cell>
        </row>
        <row r="579">
          <cell r="A579">
            <v>1000017279</v>
          </cell>
          <cell r="B579">
            <v>40558</v>
          </cell>
          <cell r="D579">
            <v>4368</v>
          </cell>
          <cell r="E579" t="str">
            <v>Materia Prima</v>
          </cell>
        </row>
        <row r="580">
          <cell r="A580">
            <v>1000017281</v>
          </cell>
          <cell r="B580">
            <v>40558</v>
          </cell>
          <cell r="D580">
            <v>220.3</v>
          </cell>
          <cell r="E580" t="str">
            <v>Materia Prima</v>
          </cell>
        </row>
        <row r="581">
          <cell r="A581">
            <v>1000017281</v>
          </cell>
          <cell r="B581">
            <v>40558</v>
          </cell>
          <cell r="D581">
            <v>720</v>
          </cell>
          <cell r="E581" t="str">
            <v>Materia Prima</v>
          </cell>
        </row>
        <row r="582">
          <cell r="A582">
            <v>1000017281</v>
          </cell>
          <cell r="B582">
            <v>40558</v>
          </cell>
          <cell r="D582">
            <v>2167.1999999999998</v>
          </cell>
          <cell r="E582" t="str">
            <v>Figurado</v>
          </cell>
        </row>
        <row r="583">
          <cell r="A583">
            <v>1000017282</v>
          </cell>
          <cell r="B583">
            <v>40558</v>
          </cell>
          <cell r="D583">
            <v>768</v>
          </cell>
          <cell r="E583" t="str">
            <v>Materia Prima</v>
          </cell>
        </row>
        <row r="584">
          <cell r="A584">
            <v>1000017282</v>
          </cell>
          <cell r="B584">
            <v>40558</v>
          </cell>
          <cell r="D584">
            <v>925.3</v>
          </cell>
          <cell r="E584" t="str">
            <v>Figurado</v>
          </cell>
        </row>
        <row r="585">
          <cell r="A585">
            <v>1000017282</v>
          </cell>
          <cell r="B585">
            <v>40558</v>
          </cell>
          <cell r="D585">
            <v>3197.6</v>
          </cell>
          <cell r="E585" t="str">
            <v>Figurado</v>
          </cell>
        </row>
        <row r="586">
          <cell r="A586">
            <v>1000017283</v>
          </cell>
          <cell r="B586">
            <v>40560</v>
          </cell>
          <cell r="D586">
            <v>1.4</v>
          </cell>
          <cell r="E586" t="str">
            <v>Figurado</v>
          </cell>
        </row>
        <row r="587">
          <cell r="A587">
            <v>1000017283</v>
          </cell>
          <cell r="B587">
            <v>40560</v>
          </cell>
          <cell r="D587">
            <v>749.4</v>
          </cell>
          <cell r="E587" t="str">
            <v>Figurado</v>
          </cell>
        </row>
        <row r="588">
          <cell r="A588">
            <v>1000017283</v>
          </cell>
          <cell r="B588">
            <v>40560</v>
          </cell>
          <cell r="D588">
            <v>6.1</v>
          </cell>
          <cell r="E588" t="str">
            <v>Figurado</v>
          </cell>
        </row>
        <row r="589">
          <cell r="A589">
            <v>1000017283</v>
          </cell>
          <cell r="B589">
            <v>40560</v>
          </cell>
          <cell r="D589">
            <v>17.5</v>
          </cell>
          <cell r="E589" t="str">
            <v>Figurado</v>
          </cell>
        </row>
        <row r="590">
          <cell r="A590">
            <v>1000017284</v>
          </cell>
          <cell r="B590">
            <v>40560</v>
          </cell>
          <cell r="D590">
            <v>3481.4</v>
          </cell>
          <cell r="E590" t="str">
            <v>Figurado</v>
          </cell>
        </row>
        <row r="591">
          <cell r="A591">
            <v>1000017285</v>
          </cell>
          <cell r="B591">
            <v>40560</v>
          </cell>
          <cell r="D591">
            <v>74.900000000000006</v>
          </cell>
          <cell r="E591" t="str">
            <v>Materia Prima</v>
          </cell>
        </row>
        <row r="592">
          <cell r="A592">
            <v>1000017285</v>
          </cell>
          <cell r="B592">
            <v>40560</v>
          </cell>
          <cell r="D592">
            <v>108</v>
          </cell>
          <cell r="E592" t="str">
            <v>Materia Prima</v>
          </cell>
        </row>
        <row r="593">
          <cell r="A593">
            <v>1000017285</v>
          </cell>
          <cell r="B593">
            <v>40560</v>
          </cell>
          <cell r="D593">
            <v>1779.1</v>
          </cell>
          <cell r="E593" t="str">
            <v>Figurado</v>
          </cell>
        </row>
        <row r="594">
          <cell r="A594">
            <v>1000017289</v>
          </cell>
          <cell r="B594">
            <v>40560</v>
          </cell>
          <cell r="D594">
            <v>434.5</v>
          </cell>
          <cell r="E594" t="str">
            <v>Figurado</v>
          </cell>
        </row>
        <row r="595">
          <cell r="A595">
            <v>1000017289</v>
          </cell>
          <cell r="B595">
            <v>40560</v>
          </cell>
          <cell r="D595">
            <v>599.4</v>
          </cell>
          <cell r="E595" t="str">
            <v>Figurado</v>
          </cell>
        </row>
        <row r="596">
          <cell r="A596">
            <v>1000017290</v>
          </cell>
          <cell r="B596">
            <v>40560</v>
          </cell>
          <cell r="D596">
            <v>3377.9</v>
          </cell>
          <cell r="E596" t="str">
            <v>Figurado</v>
          </cell>
        </row>
        <row r="597">
          <cell r="A597">
            <v>1000017290</v>
          </cell>
          <cell r="B597">
            <v>40560</v>
          </cell>
          <cell r="D597">
            <v>2823.4</v>
          </cell>
          <cell r="E597" t="str">
            <v>Figurado</v>
          </cell>
        </row>
        <row r="598">
          <cell r="A598">
            <v>1000017290</v>
          </cell>
          <cell r="B598">
            <v>40560</v>
          </cell>
          <cell r="D598">
            <v>187.2</v>
          </cell>
          <cell r="E598" t="str">
            <v>Figurado</v>
          </cell>
        </row>
        <row r="599">
          <cell r="A599">
            <v>1000017290</v>
          </cell>
          <cell r="B599">
            <v>40560</v>
          </cell>
          <cell r="D599">
            <v>918</v>
          </cell>
          <cell r="E599" t="str">
            <v>Figurado</v>
          </cell>
        </row>
        <row r="600">
          <cell r="A600">
            <v>1000017290</v>
          </cell>
          <cell r="B600">
            <v>40560</v>
          </cell>
          <cell r="D600">
            <v>396</v>
          </cell>
          <cell r="E600" t="str">
            <v>Figurado</v>
          </cell>
        </row>
        <row r="601">
          <cell r="A601">
            <v>1000017291</v>
          </cell>
          <cell r="B601">
            <v>40560</v>
          </cell>
          <cell r="D601">
            <v>326.60000000000002</v>
          </cell>
          <cell r="E601" t="str">
            <v>Figurado</v>
          </cell>
        </row>
        <row r="602">
          <cell r="A602">
            <v>1000017291</v>
          </cell>
          <cell r="B602">
            <v>40560</v>
          </cell>
          <cell r="D602">
            <v>864.9</v>
          </cell>
          <cell r="E602" t="str">
            <v>Figurado</v>
          </cell>
        </row>
        <row r="603">
          <cell r="A603">
            <v>1000017293</v>
          </cell>
          <cell r="B603">
            <v>40560</v>
          </cell>
          <cell r="D603">
            <v>115.4</v>
          </cell>
          <cell r="E603" t="str">
            <v>Figurado</v>
          </cell>
        </row>
        <row r="604">
          <cell r="A604">
            <v>1000017293</v>
          </cell>
          <cell r="B604">
            <v>40560</v>
          </cell>
          <cell r="D604">
            <v>239.6</v>
          </cell>
          <cell r="E604" t="str">
            <v>Figurado</v>
          </cell>
        </row>
        <row r="605">
          <cell r="A605">
            <v>1000017296</v>
          </cell>
          <cell r="B605">
            <v>40560</v>
          </cell>
          <cell r="D605">
            <v>33.6</v>
          </cell>
          <cell r="E605" t="str">
            <v>Materia Prima</v>
          </cell>
        </row>
        <row r="606">
          <cell r="A606">
            <v>1000017296</v>
          </cell>
          <cell r="B606">
            <v>40560</v>
          </cell>
          <cell r="D606">
            <v>36.700000000000003</v>
          </cell>
          <cell r="E606" t="str">
            <v>Materia Prima</v>
          </cell>
        </row>
        <row r="607">
          <cell r="A607">
            <v>1000017296</v>
          </cell>
          <cell r="B607">
            <v>40560</v>
          </cell>
          <cell r="D607">
            <v>1883.1</v>
          </cell>
          <cell r="E607" t="str">
            <v>Figurado</v>
          </cell>
        </row>
        <row r="608">
          <cell r="A608">
            <v>1000017297</v>
          </cell>
          <cell r="B608">
            <v>40560</v>
          </cell>
          <cell r="D608">
            <v>420</v>
          </cell>
          <cell r="E608" t="str">
            <v>Materia Prima</v>
          </cell>
        </row>
        <row r="609">
          <cell r="A609">
            <v>1000017298</v>
          </cell>
          <cell r="B609">
            <v>40560</v>
          </cell>
          <cell r="D609">
            <v>672</v>
          </cell>
          <cell r="E609" t="str">
            <v>Materia Prima</v>
          </cell>
        </row>
        <row r="610">
          <cell r="A610">
            <v>1000017298</v>
          </cell>
          <cell r="B610">
            <v>40560</v>
          </cell>
          <cell r="D610">
            <v>420</v>
          </cell>
          <cell r="E610" t="str">
            <v>Materia Prima</v>
          </cell>
        </row>
        <row r="611">
          <cell r="A611">
            <v>1000017299</v>
          </cell>
          <cell r="B611">
            <v>40560</v>
          </cell>
          <cell r="D611">
            <v>573.1</v>
          </cell>
          <cell r="E611" t="str">
            <v>Figurado</v>
          </cell>
        </row>
        <row r="612">
          <cell r="A612">
            <v>1000017299</v>
          </cell>
          <cell r="B612">
            <v>40560</v>
          </cell>
          <cell r="D612">
            <v>1138.4000000000001</v>
          </cell>
          <cell r="E612" t="str">
            <v>Figurado</v>
          </cell>
        </row>
        <row r="613">
          <cell r="A613">
            <v>1000017304</v>
          </cell>
          <cell r="B613">
            <v>40560</v>
          </cell>
          <cell r="D613">
            <v>1000.48</v>
          </cell>
          <cell r="E613" t="str">
            <v>Materia Prima</v>
          </cell>
        </row>
        <row r="614">
          <cell r="A614">
            <v>1000017305</v>
          </cell>
          <cell r="B614">
            <v>40560</v>
          </cell>
          <cell r="D614">
            <v>10423.799999999999</v>
          </cell>
          <cell r="E614" t="str">
            <v>Figurado</v>
          </cell>
        </row>
        <row r="615">
          <cell r="A615">
            <v>1000017306</v>
          </cell>
          <cell r="B615">
            <v>40560</v>
          </cell>
          <cell r="D615">
            <v>8412.5</v>
          </cell>
          <cell r="E615" t="str">
            <v>Figurado</v>
          </cell>
        </row>
        <row r="616">
          <cell r="A616">
            <v>1000017308</v>
          </cell>
          <cell r="B616">
            <v>40560</v>
          </cell>
          <cell r="D616">
            <v>3762</v>
          </cell>
          <cell r="E616" t="str">
            <v>Mallas</v>
          </cell>
        </row>
        <row r="617">
          <cell r="A617">
            <v>1000017308</v>
          </cell>
          <cell r="B617">
            <v>40560</v>
          </cell>
          <cell r="D617">
            <v>3588.53</v>
          </cell>
          <cell r="E617" t="str">
            <v>Mallas</v>
          </cell>
        </row>
        <row r="618">
          <cell r="A618">
            <v>1000017308</v>
          </cell>
          <cell r="B618">
            <v>40560</v>
          </cell>
          <cell r="D618">
            <v>4639.8</v>
          </cell>
          <cell r="E618" t="str">
            <v>Mallas</v>
          </cell>
        </row>
        <row r="619">
          <cell r="A619">
            <v>1000017308</v>
          </cell>
          <cell r="B619">
            <v>40560</v>
          </cell>
          <cell r="D619">
            <v>9655.7999999999993</v>
          </cell>
          <cell r="E619" t="str">
            <v>Mallas</v>
          </cell>
        </row>
        <row r="620">
          <cell r="A620">
            <v>1000017309</v>
          </cell>
          <cell r="B620">
            <v>40560</v>
          </cell>
          <cell r="D620">
            <v>35000</v>
          </cell>
          <cell r="E620" t="str">
            <v>Materia Prima</v>
          </cell>
        </row>
        <row r="621">
          <cell r="A621">
            <v>1000017310</v>
          </cell>
          <cell r="B621">
            <v>40560</v>
          </cell>
          <cell r="D621">
            <v>5950.8</v>
          </cell>
          <cell r="E621" t="str">
            <v>Mallas</v>
          </cell>
        </row>
        <row r="622">
          <cell r="A622">
            <v>1000017311</v>
          </cell>
          <cell r="B622">
            <v>40560</v>
          </cell>
          <cell r="D622">
            <v>149.80000000000001</v>
          </cell>
          <cell r="E622" t="str">
            <v>Materia Prima</v>
          </cell>
        </row>
        <row r="623">
          <cell r="A623">
            <v>1000017311</v>
          </cell>
          <cell r="B623">
            <v>40560</v>
          </cell>
          <cell r="D623">
            <v>2601.4</v>
          </cell>
          <cell r="E623" t="str">
            <v>Figurado</v>
          </cell>
        </row>
        <row r="624">
          <cell r="A624">
            <v>1000017311</v>
          </cell>
          <cell r="B624">
            <v>40560</v>
          </cell>
          <cell r="D624">
            <v>4810.2</v>
          </cell>
          <cell r="E624" t="str">
            <v>Figurado</v>
          </cell>
        </row>
        <row r="625">
          <cell r="A625">
            <v>1000017311</v>
          </cell>
          <cell r="B625">
            <v>40560</v>
          </cell>
          <cell r="D625">
            <v>1012.5</v>
          </cell>
          <cell r="E625" t="str">
            <v>Figurado</v>
          </cell>
        </row>
        <row r="626">
          <cell r="A626">
            <v>1000017311</v>
          </cell>
          <cell r="B626">
            <v>40560</v>
          </cell>
          <cell r="D626">
            <v>413.1</v>
          </cell>
          <cell r="E626" t="str">
            <v>Figurado</v>
          </cell>
        </row>
        <row r="627">
          <cell r="A627">
            <v>1000017311</v>
          </cell>
          <cell r="B627">
            <v>40560</v>
          </cell>
          <cell r="D627">
            <v>592</v>
          </cell>
          <cell r="E627" t="str">
            <v>Figurado</v>
          </cell>
        </row>
        <row r="628">
          <cell r="A628">
            <v>1000017312</v>
          </cell>
          <cell r="B628">
            <v>40560</v>
          </cell>
          <cell r="D628">
            <v>33.6</v>
          </cell>
          <cell r="E628" t="str">
            <v>Materia Prima</v>
          </cell>
        </row>
        <row r="629">
          <cell r="A629">
            <v>1000017312</v>
          </cell>
          <cell r="B629">
            <v>40560</v>
          </cell>
          <cell r="D629">
            <v>60</v>
          </cell>
          <cell r="E629" t="str">
            <v>Materia Prima</v>
          </cell>
        </row>
        <row r="630">
          <cell r="A630">
            <v>1000017312</v>
          </cell>
          <cell r="B630">
            <v>40560</v>
          </cell>
          <cell r="D630">
            <v>108</v>
          </cell>
          <cell r="E630" t="str">
            <v>Materia Prima</v>
          </cell>
        </row>
        <row r="631">
          <cell r="A631">
            <v>1000017313</v>
          </cell>
          <cell r="B631">
            <v>40560</v>
          </cell>
          <cell r="D631">
            <v>664.6</v>
          </cell>
          <cell r="E631" t="str">
            <v>Figurado</v>
          </cell>
        </row>
        <row r="632">
          <cell r="A632">
            <v>1000017314</v>
          </cell>
          <cell r="B632">
            <v>40560</v>
          </cell>
          <cell r="D632">
            <v>751.3</v>
          </cell>
          <cell r="E632" t="str">
            <v>Figurado</v>
          </cell>
        </row>
        <row r="633">
          <cell r="A633">
            <v>1000017315</v>
          </cell>
          <cell r="B633">
            <v>40560</v>
          </cell>
          <cell r="D633">
            <v>2207.9</v>
          </cell>
          <cell r="E633" t="str">
            <v>Figurado</v>
          </cell>
        </row>
        <row r="634">
          <cell r="A634">
            <v>1000017315</v>
          </cell>
          <cell r="B634">
            <v>40560</v>
          </cell>
          <cell r="D634">
            <v>1602.7</v>
          </cell>
          <cell r="E634" t="str">
            <v>Figurado</v>
          </cell>
        </row>
        <row r="635">
          <cell r="A635">
            <v>1000017316</v>
          </cell>
          <cell r="B635">
            <v>40560</v>
          </cell>
          <cell r="D635">
            <v>1495.4</v>
          </cell>
          <cell r="E635" t="str">
            <v>Figurado</v>
          </cell>
        </row>
        <row r="636">
          <cell r="A636">
            <v>1000017316</v>
          </cell>
          <cell r="B636">
            <v>40560</v>
          </cell>
          <cell r="D636">
            <v>1784</v>
          </cell>
          <cell r="E636" t="str">
            <v>Figurado</v>
          </cell>
        </row>
        <row r="637">
          <cell r="A637">
            <v>1000017317</v>
          </cell>
          <cell r="B637">
            <v>40561</v>
          </cell>
          <cell r="D637">
            <v>59.2</v>
          </cell>
          <cell r="E637" t="str">
            <v>Materia Prima</v>
          </cell>
        </row>
        <row r="638">
          <cell r="A638">
            <v>1000017319</v>
          </cell>
          <cell r="B638">
            <v>40561</v>
          </cell>
          <cell r="D638">
            <v>965.58</v>
          </cell>
          <cell r="E638" t="str">
            <v>Mallas</v>
          </cell>
        </row>
        <row r="639">
          <cell r="A639">
            <v>1000017319</v>
          </cell>
          <cell r="B639">
            <v>40561</v>
          </cell>
          <cell r="D639">
            <v>2175.69</v>
          </cell>
          <cell r="E639" t="str">
            <v>Mallas</v>
          </cell>
        </row>
        <row r="640">
          <cell r="A640">
            <v>1000017320</v>
          </cell>
          <cell r="B640">
            <v>40561</v>
          </cell>
          <cell r="D640">
            <v>506.16</v>
          </cell>
          <cell r="E640" t="str">
            <v>Mallas</v>
          </cell>
        </row>
        <row r="641">
          <cell r="A641">
            <v>1000017321</v>
          </cell>
          <cell r="B641">
            <v>40561</v>
          </cell>
          <cell r="D641">
            <v>690</v>
          </cell>
          <cell r="E641" t="str">
            <v>Mallas</v>
          </cell>
        </row>
        <row r="642">
          <cell r="A642">
            <v>1000017321</v>
          </cell>
          <cell r="B642">
            <v>40561</v>
          </cell>
          <cell r="D642">
            <v>1128.5999999999999</v>
          </cell>
          <cell r="E642" t="str">
            <v>Mallas</v>
          </cell>
        </row>
        <row r="643">
          <cell r="A643">
            <v>1000017322</v>
          </cell>
          <cell r="B643">
            <v>40561</v>
          </cell>
          <cell r="D643">
            <v>500</v>
          </cell>
          <cell r="E643" t="str">
            <v>Materia Prima</v>
          </cell>
        </row>
        <row r="644">
          <cell r="A644">
            <v>1000017323</v>
          </cell>
          <cell r="B644">
            <v>40561</v>
          </cell>
          <cell r="D644">
            <v>1633.1</v>
          </cell>
          <cell r="E644" t="str">
            <v>Figurado</v>
          </cell>
        </row>
        <row r="645">
          <cell r="A645">
            <v>1000017323</v>
          </cell>
          <cell r="B645">
            <v>40561</v>
          </cell>
          <cell r="D645">
            <v>2192.6</v>
          </cell>
          <cell r="E645" t="str">
            <v>Figurado</v>
          </cell>
        </row>
        <row r="646">
          <cell r="A646">
            <v>1000017324</v>
          </cell>
          <cell r="B646">
            <v>40561</v>
          </cell>
          <cell r="D646">
            <v>500</v>
          </cell>
          <cell r="E646" t="str">
            <v>Materia Prima</v>
          </cell>
        </row>
        <row r="647">
          <cell r="A647">
            <v>1000017326</v>
          </cell>
          <cell r="B647">
            <v>40561</v>
          </cell>
          <cell r="D647">
            <v>649.05999999999995</v>
          </cell>
          <cell r="E647" t="str">
            <v>Mallas</v>
          </cell>
        </row>
        <row r="648">
          <cell r="A648">
            <v>1000017326</v>
          </cell>
          <cell r="B648">
            <v>40561</v>
          </cell>
          <cell r="D648">
            <v>1092.5</v>
          </cell>
          <cell r="E648" t="str">
            <v>Mallas</v>
          </cell>
        </row>
        <row r="649">
          <cell r="A649">
            <v>1000017328</v>
          </cell>
          <cell r="B649">
            <v>40561</v>
          </cell>
          <cell r="D649">
            <v>1248</v>
          </cell>
          <cell r="E649" t="str">
            <v>Figurado</v>
          </cell>
        </row>
        <row r="650">
          <cell r="A650">
            <v>1000017328</v>
          </cell>
          <cell r="B650">
            <v>40561</v>
          </cell>
          <cell r="D650">
            <v>3081</v>
          </cell>
          <cell r="E650" t="str">
            <v>Figurado</v>
          </cell>
        </row>
        <row r="651">
          <cell r="A651">
            <v>1000017329</v>
          </cell>
          <cell r="B651">
            <v>40561</v>
          </cell>
          <cell r="D651">
            <v>986.4</v>
          </cell>
          <cell r="E651" t="str">
            <v>Figurado</v>
          </cell>
        </row>
        <row r="652">
          <cell r="A652">
            <v>1000017330</v>
          </cell>
          <cell r="B652">
            <v>40561</v>
          </cell>
          <cell r="D652">
            <v>802.2</v>
          </cell>
          <cell r="E652" t="str">
            <v>Figurado</v>
          </cell>
        </row>
        <row r="653">
          <cell r="A653">
            <v>1000017331</v>
          </cell>
          <cell r="B653">
            <v>40561</v>
          </cell>
          <cell r="D653">
            <v>790.2</v>
          </cell>
          <cell r="E653" t="str">
            <v>Figurado</v>
          </cell>
        </row>
        <row r="654">
          <cell r="A654">
            <v>1000017331</v>
          </cell>
          <cell r="B654">
            <v>40561</v>
          </cell>
          <cell r="D654">
            <v>129</v>
          </cell>
          <cell r="E654" t="str">
            <v>Figurado</v>
          </cell>
        </row>
        <row r="655">
          <cell r="A655">
            <v>1000017331</v>
          </cell>
          <cell r="B655">
            <v>40561</v>
          </cell>
          <cell r="D655">
            <v>2112.1999999999998</v>
          </cell>
          <cell r="E655" t="str">
            <v>Figurado</v>
          </cell>
        </row>
        <row r="656">
          <cell r="A656">
            <v>1000017331</v>
          </cell>
          <cell r="B656">
            <v>40561</v>
          </cell>
          <cell r="D656">
            <v>1684.8</v>
          </cell>
          <cell r="E656" t="str">
            <v>Figurado</v>
          </cell>
        </row>
        <row r="657">
          <cell r="A657">
            <v>1000017331</v>
          </cell>
          <cell r="B657">
            <v>40561</v>
          </cell>
          <cell r="D657">
            <v>1066.4000000000001</v>
          </cell>
          <cell r="E657" t="str">
            <v>Figurado</v>
          </cell>
        </row>
        <row r="658">
          <cell r="A658">
            <v>1000017331</v>
          </cell>
          <cell r="B658">
            <v>40561</v>
          </cell>
          <cell r="D658">
            <v>344</v>
          </cell>
          <cell r="E658" t="str">
            <v>Figurado</v>
          </cell>
        </row>
        <row r="659">
          <cell r="A659">
            <v>1000017332</v>
          </cell>
          <cell r="B659">
            <v>40561</v>
          </cell>
          <cell r="D659">
            <v>4069.3</v>
          </cell>
          <cell r="E659" t="str">
            <v>Figurado</v>
          </cell>
        </row>
        <row r="660">
          <cell r="A660">
            <v>1000017334</v>
          </cell>
          <cell r="B660">
            <v>40561</v>
          </cell>
          <cell r="D660">
            <v>376.4</v>
          </cell>
          <cell r="E660" t="str">
            <v>Figurado</v>
          </cell>
        </row>
        <row r="661">
          <cell r="A661">
            <v>1000017335</v>
          </cell>
          <cell r="B661">
            <v>40561</v>
          </cell>
          <cell r="D661">
            <v>141.1</v>
          </cell>
          <cell r="E661" t="str">
            <v>Materia Prima</v>
          </cell>
        </row>
        <row r="662">
          <cell r="A662">
            <v>1000017335</v>
          </cell>
          <cell r="B662">
            <v>40561</v>
          </cell>
          <cell r="D662">
            <v>146.9</v>
          </cell>
          <cell r="E662" t="str">
            <v>Materia Prima</v>
          </cell>
        </row>
        <row r="663">
          <cell r="A663">
            <v>1000017335</v>
          </cell>
          <cell r="B663">
            <v>40561</v>
          </cell>
          <cell r="D663">
            <v>3611.6</v>
          </cell>
          <cell r="E663" t="str">
            <v>Figurado</v>
          </cell>
        </row>
        <row r="664">
          <cell r="A664">
            <v>1000017335</v>
          </cell>
          <cell r="B664">
            <v>40561</v>
          </cell>
          <cell r="D664">
            <v>1918.6</v>
          </cell>
          <cell r="E664" t="str">
            <v>Figurado</v>
          </cell>
        </row>
        <row r="665">
          <cell r="A665">
            <v>1000017335</v>
          </cell>
          <cell r="B665">
            <v>40561</v>
          </cell>
          <cell r="D665">
            <v>3484</v>
          </cell>
          <cell r="E665" t="str">
            <v>Figurado</v>
          </cell>
        </row>
        <row r="666">
          <cell r="A666">
            <v>1000017339</v>
          </cell>
          <cell r="B666">
            <v>40562</v>
          </cell>
          <cell r="D666">
            <v>67.2</v>
          </cell>
          <cell r="E666" t="str">
            <v>Materia Prima</v>
          </cell>
        </row>
        <row r="667">
          <cell r="A667">
            <v>1000017340</v>
          </cell>
          <cell r="B667">
            <v>40562</v>
          </cell>
          <cell r="D667">
            <v>8549.6200000000008</v>
          </cell>
          <cell r="E667" t="str">
            <v>Mallas</v>
          </cell>
        </row>
        <row r="668">
          <cell r="A668">
            <v>1000017341</v>
          </cell>
          <cell r="B668">
            <v>40562</v>
          </cell>
          <cell r="D668">
            <v>67.2</v>
          </cell>
          <cell r="E668" t="str">
            <v>Materia Prima</v>
          </cell>
        </row>
        <row r="669">
          <cell r="A669">
            <v>1000017342</v>
          </cell>
          <cell r="B669">
            <v>40562</v>
          </cell>
          <cell r="D669">
            <v>67.2</v>
          </cell>
          <cell r="E669" t="str">
            <v>Materia Prima</v>
          </cell>
        </row>
        <row r="670">
          <cell r="A670">
            <v>1000017343</v>
          </cell>
          <cell r="B670">
            <v>40562</v>
          </cell>
          <cell r="D670">
            <v>93.6</v>
          </cell>
          <cell r="E670" t="str">
            <v>Materia Prima</v>
          </cell>
        </row>
        <row r="671">
          <cell r="A671">
            <v>1000017343</v>
          </cell>
          <cell r="B671">
            <v>40562</v>
          </cell>
          <cell r="D671">
            <v>1618.4</v>
          </cell>
          <cell r="E671" t="str">
            <v>Figurado</v>
          </cell>
        </row>
        <row r="672">
          <cell r="A672">
            <v>1000017343</v>
          </cell>
          <cell r="B672">
            <v>40562</v>
          </cell>
          <cell r="D672">
            <v>2185.9</v>
          </cell>
          <cell r="E672" t="str">
            <v>Figurado</v>
          </cell>
        </row>
        <row r="673">
          <cell r="A673">
            <v>1000017343</v>
          </cell>
          <cell r="B673">
            <v>40562</v>
          </cell>
          <cell r="D673">
            <v>745.6</v>
          </cell>
          <cell r="E673" t="str">
            <v>Figurado</v>
          </cell>
        </row>
        <row r="674">
          <cell r="A674">
            <v>1000017347</v>
          </cell>
          <cell r="B674">
            <v>40562</v>
          </cell>
          <cell r="D674">
            <v>877.8</v>
          </cell>
          <cell r="E674" t="str">
            <v>Mallas</v>
          </cell>
        </row>
        <row r="675">
          <cell r="A675">
            <v>1000017232</v>
          </cell>
          <cell r="B675">
            <v>40556</v>
          </cell>
          <cell r="D675">
            <v>0</v>
          </cell>
          <cell r="E675" t="str">
            <v>Figurado</v>
          </cell>
        </row>
        <row r="676">
          <cell r="A676">
            <v>1000017232</v>
          </cell>
          <cell r="B676">
            <v>40556</v>
          </cell>
          <cell r="D676">
            <v>2219.8000000000002</v>
          </cell>
          <cell r="E676" t="str">
            <v>Figurado</v>
          </cell>
        </row>
        <row r="677">
          <cell r="A677">
            <v>1000017307</v>
          </cell>
          <cell r="B677">
            <v>40560</v>
          </cell>
          <cell r="D677">
            <v>6261.5</v>
          </cell>
          <cell r="E677" t="str">
            <v>Figurado</v>
          </cell>
        </row>
        <row r="678">
          <cell r="A678">
            <v>1000017327</v>
          </cell>
          <cell r="B678">
            <v>40561</v>
          </cell>
          <cell r="D678">
            <v>7649.5</v>
          </cell>
          <cell r="E678" t="str">
            <v>Figurado</v>
          </cell>
        </row>
        <row r="679">
          <cell r="A679">
            <v>1000017333</v>
          </cell>
          <cell r="B679">
            <v>40561</v>
          </cell>
          <cell r="D679">
            <v>0</v>
          </cell>
          <cell r="E679" t="str">
            <v>Figurado</v>
          </cell>
        </row>
        <row r="680">
          <cell r="A680">
            <v>1000017333</v>
          </cell>
          <cell r="B680">
            <v>40561</v>
          </cell>
          <cell r="D680">
            <v>643.6</v>
          </cell>
          <cell r="E680" t="str">
            <v>Figurado</v>
          </cell>
        </row>
        <row r="681">
          <cell r="A681">
            <v>1000017354</v>
          </cell>
          <cell r="B681">
            <v>40562</v>
          </cell>
          <cell r="D681">
            <v>1076</v>
          </cell>
          <cell r="E681" t="str">
            <v>Figurado</v>
          </cell>
        </row>
        <row r="682">
          <cell r="A682">
            <v>1000017354</v>
          </cell>
          <cell r="B682">
            <v>40562</v>
          </cell>
          <cell r="D682">
            <v>1592.4</v>
          </cell>
          <cell r="E682" t="str">
            <v>Figurado</v>
          </cell>
        </row>
        <row r="683">
          <cell r="A683">
            <v>1000017354</v>
          </cell>
          <cell r="B683">
            <v>40562</v>
          </cell>
          <cell r="D683">
            <v>6366.4</v>
          </cell>
          <cell r="E683" t="str">
            <v>Figurado</v>
          </cell>
        </row>
        <row r="684">
          <cell r="A684">
            <v>1000017356</v>
          </cell>
          <cell r="B684">
            <v>40562</v>
          </cell>
          <cell r="D684">
            <v>6006</v>
          </cell>
          <cell r="E684" t="str">
            <v>Figurado</v>
          </cell>
        </row>
        <row r="685">
          <cell r="A685">
            <v>1000017358</v>
          </cell>
          <cell r="B685">
            <v>40562</v>
          </cell>
          <cell r="D685">
            <v>2872.3</v>
          </cell>
          <cell r="E685" t="str">
            <v>Figurado</v>
          </cell>
        </row>
        <row r="686">
          <cell r="A686">
            <v>1000017359</v>
          </cell>
          <cell r="B686">
            <v>40562</v>
          </cell>
          <cell r="D686">
            <v>1103.0999999999999</v>
          </cell>
          <cell r="E686" t="str">
            <v>Figurado</v>
          </cell>
        </row>
        <row r="687">
          <cell r="A687">
            <v>1000017361</v>
          </cell>
          <cell r="B687">
            <v>40563</v>
          </cell>
          <cell r="D687">
            <v>224.6</v>
          </cell>
          <cell r="E687" t="str">
            <v>Materia Prima</v>
          </cell>
        </row>
        <row r="688">
          <cell r="A688">
            <v>1000017361</v>
          </cell>
          <cell r="B688">
            <v>40563</v>
          </cell>
          <cell r="D688">
            <v>3670.2</v>
          </cell>
          <cell r="E688" t="str">
            <v>Figurado</v>
          </cell>
        </row>
        <row r="689">
          <cell r="A689">
            <v>1000017361</v>
          </cell>
          <cell r="B689">
            <v>40563</v>
          </cell>
          <cell r="D689">
            <v>1971.3</v>
          </cell>
          <cell r="E689" t="str">
            <v>Figurado</v>
          </cell>
        </row>
        <row r="690">
          <cell r="A690">
            <v>1000017361</v>
          </cell>
          <cell r="B690">
            <v>40563</v>
          </cell>
          <cell r="D690">
            <v>1634.7</v>
          </cell>
          <cell r="E690" t="str">
            <v>Figurado</v>
          </cell>
        </row>
        <row r="691">
          <cell r="A691">
            <v>1000017361</v>
          </cell>
          <cell r="B691">
            <v>40563</v>
          </cell>
          <cell r="D691">
            <v>1990</v>
          </cell>
          <cell r="E691" t="str">
            <v>Figurado</v>
          </cell>
        </row>
        <row r="692">
          <cell r="A692">
            <v>1000017361</v>
          </cell>
          <cell r="B692">
            <v>40563</v>
          </cell>
          <cell r="D692">
            <v>270.5</v>
          </cell>
          <cell r="E692" t="str">
            <v>Figurado</v>
          </cell>
        </row>
        <row r="693">
          <cell r="A693">
            <v>1000017365</v>
          </cell>
          <cell r="B693">
            <v>40563</v>
          </cell>
          <cell r="D693">
            <v>386.4</v>
          </cell>
          <cell r="E693" t="str">
            <v>Materia Prima</v>
          </cell>
        </row>
        <row r="694">
          <cell r="A694">
            <v>1000017365</v>
          </cell>
          <cell r="B694">
            <v>40563</v>
          </cell>
          <cell r="D694">
            <v>414</v>
          </cell>
          <cell r="E694" t="str">
            <v>Figurado</v>
          </cell>
        </row>
        <row r="695">
          <cell r="A695">
            <v>1000017365</v>
          </cell>
          <cell r="B695">
            <v>40563</v>
          </cell>
          <cell r="D695">
            <v>473.6</v>
          </cell>
          <cell r="E695" t="str">
            <v>Figurado</v>
          </cell>
        </row>
        <row r="696">
          <cell r="A696">
            <v>1000017365</v>
          </cell>
          <cell r="B696">
            <v>40563</v>
          </cell>
          <cell r="D696">
            <v>1925.6</v>
          </cell>
          <cell r="E696" t="str">
            <v>Figurado</v>
          </cell>
        </row>
        <row r="697">
          <cell r="A697">
            <v>1000017366</v>
          </cell>
          <cell r="B697">
            <v>40563</v>
          </cell>
          <cell r="D697">
            <v>5713.3</v>
          </cell>
          <cell r="E697" t="str">
            <v>Figurado</v>
          </cell>
        </row>
        <row r="698">
          <cell r="A698">
            <v>1000017366</v>
          </cell>
          <cell r="B698">
            <v>40563</v>
          </cell>
          <cell r="D698">
            <v>205.6</v>
          </cell>
          <cell r="E698" t="str">
            <v>Figurado</v>
          </cell>
        </row>
        <row r="699">
          <cell r="A699">
            <v>1000017375</v>
          </cell>
          <cell r="B699">
            <v>40563</v>
          </cell>
          <cell r="D699">
            <v>600</v>
          </cell>
          <cell r="E699" t="str">
            <v>Figurado</v>
          </cell>
        </row>
        <row r="700">
          <cell r="A700">
            <v>1000017375</v>
          </cell>
          <cell r="B700">
            <v>40563</v>
          </cell>
          <cell r="D700">
            <v>936</v>
          </cell>
          <cell r="E700" t="str">
            <v>Figurado</v>
          </cell>
        </row>
        <row r="701">
          <cell r="A701">
            <v>1000017089</v>
          </cell>
          <cell r="B701">
            <v>40549</v>
          </cell>
          <cell r="D701" t="str">
            <v>No se factura</v>
          </cell>
          <cell r="E701" t="str">
            <v>Materia Prima</v>
          </cell>
        </row>
        <row r="702">
          <cell r="A702">
            <v>1000017089</v>
          </cell>
          <cell r="B702">
            <v>40549</v>
          </cell>
          <cell r="D702" t="str">
            <v>No se factura</v>
          </cell>
          <cell r="E702" t="str">
            <v>Materia Prima</v>
          </cell>
        </row>
        <row r="703">
          <cell r="A703">
            <v>1000017089</v>
          </cell>
          <cell r="B703">
            <v>40549</v>
          </cell>
          <cell r="D703" t="str">
            <v>No se factura</v>
          </cell>
          <cell r="E703" t="str">
            <v>Figurado</v>
          </cell>
        </row>
        <row r="704">
          <cell r="A704">
            <v>1000017089</v>
          </cell>
          <cell r="B704">
            <v>40549</v>
          </cell>
          <cell r="D704" t="str">
            <v>No se factura</v>
          </cell>
          <cell r="E704" t="str">
            <v>Figurado</v>
          </cell>
        </row>
        <row r="705">
          <cell r="A705">
            <v>1000017089</v>
          </cell>
          <cell r="B705">
            <v>40549</v>
          </cell>
          <cell r="D705" t="str">
            <v>No se factura</v>
          </cell>
          <cell r="E705" t="str">
            <v>Figurado</v>
          </cell>
        </row>
        <row r="706">
          <cell r="A706">
            <v>1000017157</v>
          </cell>
          <cell r="B706">
            <v>40554</v>
          </cell>
          <cell r="D706">
            <v>1896.24</v>
          </cell>
          <cell r="E706" t="str">
            <v>Mallas</v>
          </cell>
        </row>
        <row r="707">
          <cell r="A707">
            <v>1000017193</v>
          </cell>
          <cell r="B707">
            <v>40556</v>
          </cell>
          <cell r="D707">
            <v>1125</v>
          </cell>
          <cell r="E707" t="str">
            <v>Mallas</v>
          </cell>
        </row>
        <row r="708">
          <cell r="A708">
            <v>1000017194</v>
          </cell>
          <cell r="B708">
            <v>40556</v>
          </cell>
          <cell r="D708">
            <v>1125</v>
          </cell>
          <cell r="E708" t="str">
            <v>Mallas</v>
          </cell>
        </row>
        <row r="709">
          <cell r="A709">
            <v>1000017264</v>
          </cell>
          <cell r="B709">
            <v>40558</v>
          </cell>
          <cell r="D709">
            <v>3553</v>
          </cell>
          <cell r="E709" t="str">
            <v>Mallas</v>
          </cell>
        </row>
        <row r="710">
          <cell r="A710">
            <v>1000017265</v>
          </cell>
          <cell r="B710">
            <v>40558</v>
          </cell>
          <cell r="D710">
            <v>1500</v>
          </cell>
          <cell r="E710" t="str">
            <v>Materia Prima</v>
          </cell>
        </row>
        <row r="711">
          <cell r="A711">
            <v>1000017294</v>
          </cell>
          <cell r="B711">
            <v>40560</v>
          </cell>
          <cell r="D711">
            <v>34052.101600000002</v>
          </cell>
          <cell r="E711" t="str">
            <v>Materia Prima</v>
          </cell>
        </row>
        <row r="712">
          <cell r="A712">
            <v>1000017295</v>
          </cell>
          <cell r="B712">
            <v>40560</v>
          </cell>
          <cell r="D712">
            <v>34017</v>
          </cell>
          <cell r="E712" t="str">
            <v>Materia Prima</v>
          </cell>
        </row>
        <row r="713">
          <cell r="A713">
            <v>1000017336</v>
          </cell>
          <cell r="B713">
            <v>40562</v>
          </cell>
          <cell r="D713">
            <v>2657.1</v>
          </cell>
          <cell r="E713" t="str">
            <v>Figurado</v>
          </cell>
        </row>
        <row r="714">
          <cell r="A714">
            <v>1000017336</v>
          </cell>
          <cell r="B714">
            <v>40562</v>
          </cell>
          <cell r="D714">
            <v>750</v>
          </cell>
          <cell r="E714" t="str">
            <v>Figurado</v>
          </cell>
        </row>
        <row r="715">
          <cell r="A715">
            <v>1000017336</v>
          </cell>
          <cell r="B715">
            <v>40562</v>
          </cell>
          <cell r="D715">
            <v>5</v>
          </cell>
          <cell r="E715" t="str">
            <v>Figurado</v>
          </cell>
        </row>
        <row r="716">
          <cell r="A716">
            <v>1000017336</v>
          </cell>
          <cell r="B716">
            <v>40562</v>
          </cell>
          <cell r="D716">
            <v>1399.6</v>
          </cell>
          <cell r="E716" t="str">
            <v>Figurado</v>
          </cell>
        </row>
        <row r="717">
          <cell r="A717">
            <v>1000017336</v>
          </cell>
          <cell r="B717">
            <v>40562</v>
          </cell>
          <cell r="D717">
            <v>4575.2</v>
          </cell>
          <cell r="E717" t="str">
            <v>Figurado</v>
          </cell>
        </row>
        <row r="718">
          <cell r="A718">
            <v>1000017337</v>
          </cell>
          <cell r="B718">
            <v>40562</v>
          </cell>
          <cell r="D718">
            <v>132</v>
          </cell>
          <cell r="E718" t="str">
            <v>Materia Prima</v>
          </cell>
        </row>
        <row r="719">
          <cell r="A719">
            <v>1000017337</v>
          </cell>
          <cell r="B719">
            <v>40562</v>
          </cell>
          <cell r="D719">
            <v>154</v>
          </cell>
          <cell r="E719" t="str">
            <v>Figurado</v>
          </cell>
        </row>
        <row r="720">
          <cell r="A720">
            <v>1000017338</v>
          </cell>
          <cell r="B720">
            <v>40562</v>
          </cell>
          <cell r="D720">
            <v>36</v>
          </cell>
          <cell r="E720" t="str">
            <v>Materia Prima</v>
          </cell>
        </row>
        <row r="721">
          <cell r="A721">
            <v>1000017338</v>
          </cell>
          <cell r="B721">
            <v>40562</v>
          </cell>
          <cell r="D721">
            <v>15.4</v>
          </cell>
          <cell r="E721" t="str">
            <v>Figurado</v>
          </cell>
        </row>
        <row r="722">
          <cell r="A722">
            <v>1000017344</v>
          </cell>
          <cell r="B722">
            <v>40562</v>
          </cell>
          <cell r="D722">
            <v>36.700000000000003</v>
          </cell>
          <cell r="E722" t="str">
            <v>Materia Prima</v>
          </cell>
        </row>
        <row r="723">
          <cell r="A723">
            <v>1000017344</v>
          </cell>
          <cell r="B723">
            <v>40562</v>
          </cell>
          <cell r="D723">
            <v>1128.4000000000001</v>
          </cell>
          <cell r="E723" t="str">
            <v>Figurado</v>
          </cell>
        </row>
        <row r="724">
          <cell r="A724">
            <v>1000017344</v>
          </cell>
          <cell r="B724">
            <v>40562</v>
          </cell>
          <cell r="D724">
            <v>792.9</v>
          </cell>
          <cell r="E724" t="str">
            <v>Figurado</v>
          </cell>
        </row>
        <row r="725">
          <cell r="A725">
            <v>1000017344</v>
          </cell>
          <cell r="B725">
            <v>40562</v>
          </cell>
          <cell r="D725">
            <v>1976.4</v>
          </cell>
          <cell r="E725" t="str">
            <v>Figurado</v>
          </cell>
        </row>
        <row r="726">
          <cell r="A726">
            <v>1000017344</v>
          </cell>
          <cell r="B726">
            <v>40562</v>
          </cell>
          <cell r="D726">
            <v>2104.1999999999998</v>
          </cell>
          <cell r="E726" t="str">
            <v>Figurado</v>
          </cell>
        </row>
        <row r="727">
          <cell r="A727">
            <v>1000017345</v>
          </cell>
          <cell r="B727">
            <v>40562</v>
          </cell>
          <cell r="D727">
            <v>504</v>
          </cell>
          <cell r="E727" t="str">
            <v>Materia Prima</v>
          </cell>
        </row>
        <row r="728">
          <cell r="A728">
            <v>1000017345</v>
          </cell>
          <cell r="B728">
            <v>40562</v>
          </cell>
          <cell r="D728">
            <v>36</v>
          </cell>
          <cell r="E728" t="str">
            <v>Figurado</v>
          </cell>
        </row>
        <row r="729">
          <cell r="A729">
            <v>1000017346</v>
          </cell>
          <cell r="B729">
            <v>40562</v>
          </cell>
          <cell r="D729">
            <v>3021.2</v>
          </cell>
          <cell r="E729" t="str">
            <v>Figurado</v>
          </cell>
        </row>
        <row r="730">
          <cell r="A730">
            <v>1000017346</v>
          </cell>
          <cell r="B730">
            <v>40562</v>
          </cell>
          <cell r="D730">
            <v>2171.5</v>
          </cell>
          <cell r="E730" t="str">
            <v>Figurado</v>
          </cell>
        </row>
        <row r="731">
          <cell r="A731">
            <v>1000017346</v>
          </cell>
          <cell r="B731">
            <v>40562</v>
          </cell>
          <cell r="D731">
            <v>3672</v>
          </cell>
          <cell r="E731" t="str">
            <v>Figurado</v>
          </cell>
        </row>
        <row r="732">
          <cell r="A732">
            <v>1000017348</v>
          </cell>
          <cell r="B732">
            <v>40562</v>
          </cell>
          <cell r="D732">
            <v>596.9</v>
          </cell>
          <cell r="E732" t="str">
            <v>Figurado</v>
          </cell>
        </row>
        <row r="733">
          <cell r="A733">
            <v>1000017349</v>
          </cell>
          <cell r="B733">
            <v>40562</v>
          </cell>
          <cell r="D733">
            <v>468.3</v>
          </cell>
          <cell r="E733" t="str">
            <v>Figurado</v>
          </cell>
        </row>
        <row r="734">
          <cell r="A734">
            <v>1000017350</v>
          </cell>
          <cell r="B734">
            <v>40562</v>
          </cell>
          <cell r="D734">
            <v>131.19999999999999</v>
          </cell>
          <cell r="E734" t="str">
            <v>Figurado</v>
          </cell>
        </row>
        <row r="735">
          <cell r="A735">
            <v>1000017351</v>
          </cell>
          <cell r="B735">
            <v>40562</v>
          </cell>
          <cell r="D735">
            <v>131.19999999999999</v>
          </cell>
          <cell r="E735" t="str">
            <v>Figurado</v>
          </cell>
        </row>
        <row r="736">
          <cell r="A736">
            <v>1000017352</v>
          </cell>
          <cell r="B736">
            <v>40562</v>
          </cell>
          <cell r="D736">
            <v>131.19999999999999</v>
          </cell>
          <cell r="E736" t="str">
            <v>Figurado</v>
          </cell>
        </row>
        <row r="737">
          <cell r="A737">
            <v>1000017355</v>
          </cell>
          <cell r="B737">
            <v>40562</v>
          </cell>
          <cell r="D737">
            <v>1128</v>
          </cell>
          <cell r="E737" t="str">
            <v>Materia Prima</v>
          </cell>
        </row>
        <row r="738">
          <cell r="A738">
            <v>1000017355</v>
          </cell>
          <cell r="B738">
            <v>40562</v>
          </cell>
          <cell r="D738">
            <v>384</v>
          </cell>
          <cell r="E738" t="str">
            <v>Materia Prima</v>
          </cell>
        </row>
        <row r="739">
          <cell r="A739">
            <v>1000017362</v>
          </cell>
          <cell r="B739">
            <v>40563</v>
          </cell>
          <cell r="D739">
            <v>7378.6</v>
          </cell>
          <cell r="E739" t="str">
            <v>Figurado</v>
          </cell>
        </row>
        <row r="740">
          <cell r="A740">
            <v>1000017364</v>
          </cell>
          <cell r="B740">
            <v>40563</v>
          </cell>
          <cell r="D740">
            <v>8390</v>
          </cell>
          <cell r="E740" t="str">
            <v>Figurado</v>
          </cell>
        </row>
        <row r="741">
          <cell r="A741">
            <v>1000017368</v>
          </cell>
          <cell r="B741">
            <v>40563</v>
          </cell>
          <cell r="D741">
            <v>8527.7999999999993</v>
          </cell>
          <cell r="E741" t="str">
            <v>Figurado</v>
          </cell>
        </row>
        <row r="742">
          <cell r="A742">
            <v>1000017369</v>
          </cell>
          <cell r="B742">
            <v>40563</v>
          </cell>
          <cell r="D742">
            <v>403.75</v>
          </cell>
          <cell r="E742" t="str">
            <v>Mallas</v>
          </cell>
        </row>
        <row r="743">
          <cell r="A743">
            <v>1000017370</v>
          </cell>
          <cell r="B743">
            <v>40563</v>
          </cell>
          <cell r="D743">
            <v>210.9</v>
          </cell>
          <cell r="E743" t="str">
            <v>Mallas</v>
          </cell>
        </row>
        <row r="744">
          <cell r="A744">
            <v>1000017376</v>
          </cell>
          <cell r="B744">
            <v>40563</v>
          </cell>
          <cell r="D744">
            <v>600</v>
          </cell>
          <cell r="E744" t="str">
            <v>Materia Prima</v>
          </cell>
        </row>
        <row r="745">
          <cell r="A745">
            <v>1000017377</v>
          </cell>
          <cell r="B745">
            <v>40563</v>
          </cell>
          <cell r="D745">
            <v>4806</v>
          </cell>
          <cell r="E745" t="str">
            <v>Figurado</v>
          </cell>
        </row>
        <row r="746">
          <cell r="A746">
            <v>1000017377</v>
          </cell>
          <cell r="B746">
            <v>40563</v>
          </cell>
          <cell r="D746">
            <v>2777.1</v>
          </cell>
          <cell r="E746" t="str">
            <v>Figurado</v>
          </cell>
        </row>
        <row r="747">
          <cell r="A747">
            <v>1000017377</v>
          </cell>
          <cell r="B747">
            <v>40563</v>
          </cell>
          <cell r="D747">
            <v>544.70000000000005</v>
          </cell>
          <cell r="E747" t="str">
            <v>Figurado</v>
          </cell>
        </row>
        <row r="748">
          <cell r="A748">
            <v>1000017378</v>
          </cell>
          <cell r="B748">
            <v>40563</v>
          </cell>
          <cell r="D748">
            <v>2951.8</v>
          </cell>
          <cell r="E748" t="str">
            <v>Figurado</v>
          </cell>
        </row>
        <row r="749">
          <cell r="A749">
            <v>1000017382</v>
          </cell>
          <cell r="B749">
            <v>40563</v>
          </cell>
          <cell r="D749">
            <v>5550.2</v>
          </cell>
          <cell r="E749" t="str">
            <v>Figurado</v>
          </cell>
        </row>
        <row r="750">
          <cell r="A750">
            <v>1000017382</v>
          </cell>
          <cell r="B750">
            <v>40563</v>
          </cell>
          <cell r="D750">
            <v>5951.6</v>
          </cell>
          <cell r="E750" t="str">
            <v>Figurado</v>
          </cell>
        </row>
        <row r="751">
          <cell r="A751">
            <v>1000017383</v>
          </cell>
          <cell r="B751">
            <v>40564</v>
          </cell>
          <cell r="D751">
            <v>341</v>
          </cell>
          <cell r="E751" t="str">
            <v>Figurado</v>
          </cell>
        </row>
        <row r="752">
          <cell r="A752">
            <v>1000017384</v>
          </cell>
          <cell r="B752">
            <v>40564</v>
          </cell>
          <cell r="D752">
            <v>72.5</v>
          </cell>
          <cell r="E752" t="str">
            <v>Figurado</v>
          </cell>
        </row>
        <row r="753">
          <cell r="A753">
            <v>1000017384</v>
          </cell>
          <cell r="B753">
            <v>40564</v>
          </cell>
          <cell r="D753">
            <v>1891.7</v>
          </cell>
          <cell r="E753" t="str">
            <v>Figurado</v>
          </cell>
        </row>
        <row r="754">
          <cell r="A754">
            <v>1000017384</v>
          </cell>
          <cell r="B754">
            <v>40564</v>
          </cell>
          <cell r="D754">
            <v>339.7</v>
          </cell>
          <cell r="E754" t="str">
            <v>Figurado</v>
          </cell>
        </row>
        <row r="755">
          <cell r="A755">
            <v>1000017384</v>
          </cell>
          <cell r="B755">
            <v>40564</v>
          </cell>
          <cell r="D755">
            <v>43.2</v>
          </cell>
          <cell r="E755" t="str">
            <v>Figurado</v>
          </cell>
        </row>
        <row r="756">
          <cell r="A756">
            <v>1000017385</v>
          </cell>
          <cell r="B756">
            <v>40564</v>
          </cell>
          <cell r="D756">
            <v>694.7</v>
          </cell>
          <cell r="E756" t="str">
            <v>Figurado</v>
          </cell>
        </row>
        <row r="757">
          <cell r="A757">
            <v>1000017385</v>
          </cell>
          <cell r="B757">
            <v>40564</v>
          </cell>
          <cell r="D757">
            <v>895</v>
          </cell>
          <cell r="E757" t="str">
            <v>Figurado</v>
          </cell>
        </row>
        <row r="758">
          <cell r="A758">
            <v>1000017386</v>
          </cell>
          <cell r="B758">
            <v>40564</v>
          </cell>
          <cell r="D758">
            <v>10078.799999999999</v>
          </cell>
          <cell r="E758" t="str">
            <v>Figurado</v>
          </cell>
        </row>
        <row r="759">
          <cell r="A759">
            <v>1000017390</v>
          </cell>
          <cell r="B759">
            <v>40564</v>
          </cell>
          <cell r="D759">
            <v>360</v>
          </cell>
          <cell r="E759" t="str">
            <v>Materia Prima</v>
          </cell>
        </row>
        <row r="760">
          <cell r="A760">
            <v>1000017390</v>
          </cell>
          <cell r="B760">
            <v>40564</v>
          </cell>
          <cell r="D760">
            <v>2016</v>
          </cell>
          <cell r="E760" t="str">
            <v>Materia Prima</v>
          </cell>
        </row>
        <row r="761">
          <cell r="A761">
            <v>1000017390</v>
          </cell>
          <cell r="B761">
            <v>40564</v>
          </cell>
          <cell r="D761">
            <v>480.5</v>
          </cell>
          <cell r="E761" t="str">
            <v>Figurado</v>
          </cell>
        </row>
        <row r="762">
          <cell r="A762">
            <v>1000017390</v>
          </cell>
          <cell r="B762">
            <v>40564</v>
          </cell>
          <cell r="D762">
            <v>1386</v>
          </cell>
          <cell r="E762" t="str">
            <v>Figurado</v>
          </cell>
        </row>
        <row r="763">
          <cell r="A763">
            <v>1000017390</v>
          </cell>
          <cell r="B763">
            <v>40564</v>
          </cell>
          <cell r="D763">
            <v>1885</v>
          </cell>
          <cell r="E763" t="str">
            <v>Figurado</v>
          </cell>
        </row>
        <row r="764">
          <cell r="A764">
            <v>1000017390</v>
          </cell>
          <cell r="B764">
            <v>40564</v>
          </cell>
          <cell r="D764">
            <v>2464</v>
          </cell>
          <cell r="E764" t="str">
            <v>Figurado</v>
          </cell>
        </row>
        <row r="765">
          <cell r="A765">
            <v>1000017391</v>
          </cell>
          <cell r="B765">
            <v>40564</v>
          </cell>
          <cell r="D765">
            <v>312</v>
          </cell>
          <cell r="E765" t="str">
            <v>Figurado</v>
          </cell>
        </row>
        <row r="766">
          <cell r="A766">
            <v>1000017391</v>
          </cell>
          <cell r="B766">
            <v>40564</v>
          </cell>
          <cell r="D766">
            <v>488.6</v>
          </cell>
          <cell r="E766" t="str">
            <v>Figurado</v>
          </cell>
        </row>
        <row r="767">
          <cell r="A767">
            <v>1000017395</v>
          </cell>
          <cell r="B767">
            <v>40564</v>
          </cell>
          <cell r="D767">
            <v>11676.2</v>
          </cell>
          <cell r="E767" t="str">
            <v>Figurado</v>
          </cell>
        </row>
        <row r="768">
          <cell r="A768">
            <v>1000017404</v>
          </cell>
          <cell r="B768">
            <v>40564</v>
          </cell>
          <cell r="D768">
            <v>2196.8000000000002</v>
          </cell>
          <cell r="E768" t="str">
            <v>Figurado</v>
          </cell>
        </row>
        <row r="769">
          <cell r="A769">
            <v>1000017404</v>
          </cell>
          <cell r="B769">
            <v>40564</v>
          </cell>
          <cell r="D769">
            <v>1608.3</v>
          </cell>
          <cell r="E769" t="str">
            <v>Figurado</v>
          </cell>
        </row>
        <row r="770">
          <cell r="A770">
            <v>1000017404</v>
          </cell>
          <cell r="B770">
            <v>40564</v>
          </cell>
          <cell r="D770">
            <v>207.8</v>
          </cell>
          <cell r="E770" t="str">
            <v>Figurado</v>
          </cell>
        </row>
        <row r="771">
          <cell r="A771">
            <v>1000017404</v>
          </cell>
          <cell r="B771">
            <v>40564</v>
          </cell>
          <cell r="D771">
            <v>72</v>
          </cell>
          <cell r="E771" t="str">
            <v>Figurado</v>
          </cell>
        </row>
        <row r="772">
          <cell r="A772">
            <v>1000017405</v>
          </cell>
          <cell r="B772">
            <v>40564</v>
          </cell>
          <cell r="D772">
            <v>66.599999999999994</v>
          </cell>
          <cell r="E772" t="str">
            <v>Figurado</v>
          </cell>
        </row>
        <row r="773">
          <cell r="A773">
            <v>1000017406</v>
          </cell>
          <cell r="B773">
            <v>40564</v>
          </cell>
          <cell r="D773">
            <v>448.8</v>
          </cell>
          <cell r="E773" t="str">
            <v>Figurado</v>
          </cell>
        </row>
        <row r="774">
          <cell r="A774">
            <v>1000017406</v>
          </cell>
          <cell r="B774">
            <v>40564</v>
          </cell>
          <cell r="D774">
            <v>433</v>
          </cell>
          <cell r="E774" t="str">
            <v>Figurado</v>
          </cell>
        </row>
        <row r="775">
          <cell r="A775">
            <v>1000017407</v>
          </cell>
          <cell r="B775">
            <v>40564</v>
          </cell>
          <cell r="D775">
            <v>187.4</v>
          </cell>
          <cell r="E775" t="str">
            <v>Figurado</v>
          </cell>
        </row>
        <row r="776">
          <cell r="A776">
            <v>1000017407</v>
          </cell>
          <cell r="B776">
            <v>40564</v>
          </cell>
          <cell r="D776">
            <v>213.4</v>
          </cell>
          <cell r="E776" t="str">
            <v>Figurado</v>
          </cell>
        </row>
        <row r="777">
          <cell r="A777">
            <v>1000017408</v>
          </cell>
          <cell r="B777">
            <v>40564</v>
          </cell>
          <cell r="D777">
            <v>953.4</v>
          </cell>
          <cell r="E777" t="str">
            <v>Figurado</v>
          </cell>
        </row>
        <row r="778">
          <cell r="A778">
            <v>1000017408</v>
          </cell>
          <cell r="B778">
            <v>40564</v>
          </cell>
          <cell r="D778">
            <v>745.1</v>
          </cell>
          <cell r="E778" t="str">
            <v>Figurado</v>
          </cell>
        </row>
        <row r="779">
          <cell r="A779">
            <v>1000017408</v>
          </cell>
          <cell r="B779">
            <v>40564</v>
          </cell>
          <cell r="D779">
            <v>677.5</v>
          </cell>
          <cell r="E779" t="str">
            <v>Figurado</v>
          </cell>
        </row>
        <row r="780">
          <cell r="A780">
            <v>1000017409</v>
          </cell>
          <cell r="B780">
            <v>40564</v>
          </cell>
          <cell r="D780">
            <v>66.599999999999994</v>
          </cell>
          <cell r="E780" t="str">
            <v>Figurado</v>
          </cell>
        </row>
        <row r="781">
          <cell r="A781">
            <v>1000017200</v>
          </cell>
          <cell r="B781">
            <v>40556</v>
          </cell>
          <cell r="D781">
            <v>53.8</v>
          </cell>
          <cell r="E781" t="str">
            <v>Materia Prima</v>
          </cell>
        </row>
        <row r="782">
          <cell r="A782">
            <v>1000017200</v>
          </cell>
          <cell r="B782">
            <v>40556</v>
          </cell>
          <cell r="D782">
            <v>4438.2</v>
          </cell>
          <cell r="E782" t="str">
            <v>Figurado</v>
          </cell>
        </row>
        <row r="783">
          <cell r="A783">
            <v>1000017200</v>
          </cell>
          <cell r="B783">
            <v>40556</v>
          </cell>
          <cell r="D783">
            <v>2597.3000000000002</v>
          </cell>
          <cell r="E783" t="str">
            <v>Figurado</v>
          </cell>
        </row>
        <row r="784">
          <cell r="A784">
            <v>1000017200</v>
          </cell>
          <cell r="B784">
            <v>40556</v>
          </cell>
          <cell r="D784">
            <v>131</v>
          </cell>
          <cell r="E784" t="str">
            <v>Figurado</v>
          </cell>
        </row>
        <row r="785">
          <cell r="A785">
            <v>1000017200</v>
          </cell>
          <cell r="B785">
            <v>40556</v>
          </cell>
          <cell r="D785">
            <v>101.7</v>
          </cell>
          <cell r="E785" t="str">
            <v>Figurado</v>
          </cell>
        </row>
        <row r="786">
          <cell r="A786">
            <v>1000017200</v>
          </cell>
          <cell r="B786">
            <v>40556</v>
          </cell>
          <cell r="D786">
            <v>200.4</v>
          </cell>
          <cell r="E786" t="str">
            <v>Figurado</v>
          </cell>
        </row>
        <row r="787">
          <cell r="A787">
            <v>1000017257</v>
          </cell>
          <cell r="B787">
            <v>40557</v>
          </cell>
          <cell r="D787">
            <v>49.8</v>
          </cell>
          <cell r="E787" t="str">
            <v>Materia Prima</v>
          </cell>
        </row>
        <row r="788">
          <cell r="A788">
            <v>1000017257</v>
          </cell>
          <cell r="B788">
            <v>40557</v>
          </cell>
          <cell r="D788">
            <v>626.70000000000005</v>
          </cell>
          <cell r="E788" t="str">
            <v>Materia Prima</v>
          </cell>
        </row>
        <row r="789">
          <cell r="A789">
            <v>1000017257</v>
          </cell>
          <cell r="B789">
            <v>40557</v>
          </cell>
          <cell r="D789">
            <v>60</v>
          </cell>
          <cell r="E789" t="str">
            <v>Materia Prima</v>
          </cell>
        </row>
        <row r="790">
          <cell r="A790">
            <v>1000017257</v>
          </cell>
          <cell r="B790">
            <v>40557</v>
          </cell>
          <cell r="D790">
            <v>323.5</v>
          </cell>
          <cell r="E790" t="str">
            <v>Materia Prima</v>
          </cell>
        </row>
        <row r="791">
          <cell r="A791">
            <v>1000017371</v>
          </cell>
          <cell r="B791">
            <v>40563</v>
          </cell>
          <cell r="D791">
            <v>2194.9</v>
          </cell>
          <cell r="E791" t="str">
            <v>Figurado</v>
          </cell>
        </row>
        <row r="792">
          <cell r="A792">
            <v>1000017372</v>
          </cell>
          <cell r="B792">
            <v>40563</v>
          </cell>
          <cell r="D792">
            <v>20.100000000000001</v>
          </cell>
          <cell r="E792" t="str">
            <v>Figurado</v>
          </cell>
        </row>
        <row r="793">
          <cell r="A793">
            <v>1000017372</v>
          </cell>
          <cell r="B793">
            <v>40563</v>
          </cell>
          <cell r="D793">
            <v>1218.0999999999999</v>
          </cell>
          <cell r="E793" t="str">
            <v>Figurado</v>
          </cell>
        </row>
        <row r="794">
          <cell r="A794">
            <v>1000017373</v>
          </cell>
          <cell r="B794">
            <v>40563</v>
          </cell>
          <cell r="D794">
            <v>291.8</v>
          </cell>
          <cell r="E794" t="str">
            <v>Figurado</v>
          </cell>
        </row>
        <row r="795">
          <cell r="A795">
            <v>1000017373</v>
          </cell>
          <cell r="B795">
            <v>40563</v>
          </cell>
          <cell r="D795">
            <v>75.2</v>
          </cell>
          <cell r="E795" t="str">
            <v>Figurado</v>
          </cell>
        </row>
        <row r="796">
          <cell r="A796">
            <v>1000017373</v>
          </cell>
          <cell r="B796">
            <v>40563</v>
          </cell>
          <cell r="D796">
            <v>2479.1999999999998</v>
          </cell>
          <cell r="E796" t="str">
            <v>Figurado</v>
          </cell>
        </row>
        <row r="797">
          <cell r="A797">
            <v>1000017374</v>
          </cell>
          <cell r="B797">
            <v>40563</v>
          </cell>
          <cell r="D797">
            <v>15909</v>
          </cell>
          <cell r="E797" t="str">
            <v>Materia Prima</v>
          </cell>
        </row>
        <row r="798">
          <cell r="A798">
            <v>1000017374</v>
          </cell>
          <cell r="B798">
            <v>40563</v>
          </cell>
          <cell r="D798">
            <v>19689</v>
          </cell>
          <cell r="E798" t="str">
            <v>Materia Prima</v>
          </cell>
        </row>
        <row r="799">
          <cell r="A799">
            <v>1000017380</v>
          </cell>
          <cell r="B799">
            <v>40563</v>
          </cell>
          <cell r="D799">
            <v>9396</v>
          </cell>
          <cell r="E799" t="str">
            <v>Mallas</v>
          </cell>
        </row>
        <row r="800">
          <cell r="A800">
            <v>1000017381</v>
          </cell>
          <cell r="B800">
            <v>40563</v>
          </cell>
          <cell r="D800">
            <v>1879.2</v>
          </cell>
          <cell r="E800" t="str">
            <v>Mallas</v>
          </cell>
        </row>
        <row r="801">
          <cell r="A801">
            <v>1000017387</v>
          </cell>
          <cell r="B801">
            <v>40564</v>
          </cell>
          <cell r="D801">
            <v>3562.5</v>
          </cell>
          <cell r="E801" t="str">
            <v>Mallas</v>
          </cell>
        </row>
        <row r="802">
          <cell r="A802">
            <v>1000017388</v>
          </cell>
          <cell r="B802">
            <v>40564</v>
          </cell>
          <cell r="D802">
            <v>2137.5</v>
          </cell>
          <cell r="E802" t="str">
            <v>Mallas</v>
          </cell>
        </row>
        <row r="803">
          <cell r="A803">
            <v>1000017389</v>
          </cell>
          <cell r="B803">
            <v>40564</v>
          </cell>
          <cell r="D803">
            <v>2873.75</v>
          </cell>
          <cell r="E803" t="str">
            <v>Mallas</v>
          </cell>
        </row>
        <row r="804">
          <cell r="A804">
            <v>1000017392</v>
          </cell>
          <cell r="B804">
            <v>40564</v>
          </cell>
          <cell r="D804">
            <v>6344.8</v>
          </cell>
          <cell r="E804" t="str">
            <v>Figurado</v>
          </cell>
        </row>
        <row r="805">
          <cell r="A805">
            <v>1000017396</v>
          </cell>
          <cell r="B805">
            <v>40564</v>
          </cell>
          <cell r="D805">
            <v>374.4</v>
          </cell>
          <cell r="E805" t="str">
            <v>Materia Prima</v>
          </cell>
        </row>
        <row r="806">
          <cell r="A806">
            <v>1000017396</v>
          </cell>
          <cell r="B806">
            <v>40564</v>
          </cell>
          <cell r="D806">
            <v>73.400000000000006</v>
          </cell>
          <cell r="E806" t="str">
            <v>Materia Prima</v>
          </cell>
        </row>
        <row r="807">
          <cell r="A807">
            <v>1000017396</v>
          </cell>
          <cell r="B807">
            <v>40564</v>
          </cell>
          <cell r="D807">
            <v>240</v>
          </cell>
          <cell r="E807" t="str">
            <v>Materia Prima</v>
          </cell>
        </row>
        <row r="808">
          <cell r="A808">
            <v>1000017396</v>
          </cell>
          <cell r="B808">
            <v>40564</v>
          </cell>
          <cell r="D808">
            <v>1076</v>
          </cell>
          <cell r="E808" t="str">
            <v>Figurado</v>
          </cell>
        </row>
        <row r="809">
          <cell r="A809">
            <v>1000017396</v>
          </cell>
          <cell r="B809">
            <v>40564</v>
          </cell>
          <cell r="D809">
            <v>2930.1</v>
          </cell>
          <cell r="E809" t="str">
            <v>Figurado</v>
          </cell>
        </row>
        <row r="810">
          <cell r="A810">
            <v>1000017396</v>
          </cell>
          <cell r="B810">
            <v>40564</v>
          </cell>
          <cell r="D810">
            <v>2679</v>
          </cell>
          <cell r="E810" t="str">
            <v>Figurado</v>
          </cell>
        </row>
        <row r="811">
          <cell r="A811">
            <v>1000017396</v>
          </cell>
          <cell r="B811">
            <v>40564</v>
          </cell>
          <cell r="D811">
            <v>4485.2</v>
          </cell>
          <cell r="E811" t="str">
            <v>Figurado</v>
          </cell>
        </row>
        <row r="812">
          <cell r="A812">
            <v>1000017397</v>
          </cell>
          <cell r="B812">
            <v>40564</v>
          </cell>
          <cell r="D812">
            <v>1238.4000000000001</v>
          </cell>
          <cell r="E812" t="str">
            <v>Figurado</v>
          </cell>
        </row>
        <row r="813">
          <cell r="A813">
            <v>1000017398</v>
          </cell>
          <cell r="B813">
            <v>40564</v>
          </cell>
          <cell r="D813">
            <v>204</v>
          </cell>
          <cell r="E813" t="str">
            <v>Figurado</v>
          </cell>
        </row>
        <row r="814">
          <cell r="A814">
            <v>1000017399</v>
          </cell>
          <cell r="B814">
            <v>40564</v>
          </cell>
          <cell r="D814">
            <v>825.6</v>
          </cell>
          <cell r="E814" t="str">
            <v>Figurado</v>
          </cell>
        </row>
        <row r="815">
          <cell r="A815">
            <v>1000017399</v>
          </cell>
          <cell r="B815">
            <v>40564</v>
          </cell>
          <cell r="D815">
            <v>602</v>
          </cell>
          <cell r="E815" t="str">
            <v>Figurado</v>
          </cell>
        </row>
        <row r="816">
          <cell r="A816">
            <v>1000017400</v>
          </cell>
          <cell r="B816">
            <v>40564</v>
          </cell>
          <cell r="D816">
            <v>25.5</v>
          </cell>
          <cell r="E816" t="str">
            <v>Figurado</v>
          </cell>
        </row>
        <row r="817">
          <cell r="A817">
            <v>1000017400</v>
          </cell>
          <cell r="B817">
            <v>40564</v>
          </cell>
          <cell r="D817">
            <v>27.1</v>
          </cell>
          <cell r="E817" t="str">
            <v>Figurado</v>
          </cell>
        </row>
        <row r="818">
          <cell r="A818">
            <v>1000017402</v>
          </cell>
          <cell r="B818">
            <v>40564</v>
          </cell>
          <cell r="D818">
            <v>1763.8</v>
          </cell>
          <cell r="E818" t="str">
            <v>Figurado</v>
          </cell>
        </row>
        <row r="819">
          <cell r="A819">
            <v>1000017402</v>
          </cell>
          <cell r="B819">
            <v>40564</v>
          </cell>
          <cell r="D819">
            <v>777.1</v>
          </cell>
          <cell r="E819" t="str">
            <v>Figurado</v>
          </cell>
        </row>
        <row r="820">
          <cell r="A820">
            <v>1000017403</v>
          </cell>
          <cell r="B820">
            <v>40564</v>
          </cell>
          <cell r="D820">
            <v>2042</v>
          </cell>
          <cell r="E820" t="str">
            <v>Figurado</v>
          </cell>
        </row>
        <row r="821">
          <cell r="A821">
            <v>1000017410</v>
          </cell>
          <cell r="B821">
            <v>40564</v>
          </cell>
          <cell r="D821">
            <v>11588</v>
          </cell>
          <cell r="E821" t="str">
            <v>Materia Prima</v>
          </cell>
        </row>
        <row r="822">
          <cell r="A822">
            <v>1000017411</v>
          </cell>
          <cell r="B822">
            <v>40564</v>
          </cell>
          <cell r="D822">
            <v>2789.3</v>
          </cell>
          <cell r="E822" t="str">
            <v>Materia Prima</v>
          </cell>
        </row>
        <row r="823">
          <cell r="A823">
            <v>1000017412</v>
          </cell>
          <cell r="B823">
            <v>40564</v>
          </cell>
          <cell r="D823">
            <v>936</v>
          </cell>
          <cell r="E823" t="str">
            <v>Materia Prima</v>
          </cell>
        </row>
        <row r="824">
          <cell r="A824">
            <v>1000017413</v>
          </cell>
          <cell r="B824">
            <v>40564</v>
          </cell>
          <cell r="D824">
            <v>355.7</v>
          </cell>
          <cell r="E824" t="str">
            <v>Materia Prima</v>
          </cell>
        </row>
        <row r="825">
          <cell r="A825">
            <v>1000017414</v>
          </cell>
          <cell r="B825">
            <v>40564</v>
          </cell>
          <cell r="D825">
            <v>2808</v>
          </cell>
          <cell r="E825" t="str">
            <v>Materia Prima</v>
          </cell>
        </row>
        <row r="826">
          <cell r="A826">
            <v>1000017415</v>
          </cell>
          <cell r="B826">
            <v>40564</v>
          </cell>
          <cell r="D826">
            <v>3744</v>
          </cell>
          <cell r="E826" t="str">
            <v>Materia Prima</v>
          </cell>
        </row>
        <row r="827">
          <cell r="A827">
            <v>1000017416</v>
          </cell>
          <cell r="B827">
            <v>40564</v>
          </cell>
          <cell r="D827">
            <v>540</v>
          </cell>
          <cell r="E827" t="str">
            <v>Figurado</v>
          </cell>
        </row>
        <row r="828">
          <cell r="A828">
            <v>1000017416</v>
          </cell>
          <cell r="B828">
            <v>40564</v>
          </cell>
          <cell r="D828">
            <v>775.6</v>
          </cell>
          <cell r="E828" t="str">
            <v>Figurado</v>
          </cell>
        </row>
        <row r="829">
          <cell r="A829">
            <v>1000017417</v>
          </cell>
          <cell r="B829">
            <v>40564</v>
          </cell>
          <cell r="D829">
            <v>141</v>
          </cell>
          <cell r="E829" t="str">
            <v>Figurado</v>
          </cell>
        </row>
        <row r="830">
          <cell r="A830">
            <v>1000017417</v>
          </cell>
          <cell r="B830">
            <v>40564</v>
          </cell>
          <cell r="D830">
            <v>203.4</v>
          </cell>
          <cell r="E830" t="str">
            <v>Figurado</v>
          </cell>
        </row>
        <row r="831">
          <cell r="A831">
            <v>1000017418</v>
          </cell>
          <cell r="B831">
            <v>40564</v>
          </cell>
          <cell r="D831">
            <v>78.400000000000006</v>
          </cell>
          <cell r="E831" t="str">
            <v>Figurado</v>
          </cell>
        </row>
        <row r="832">
          <cell r="A832">
            <v>1000017418</v>
          </cell>
          <cell r="B832">
            <v>40564</v>
          </cell>
          <cell r="D832">
            <v>157.9</v>
          </cell>
          <cell r="E832" t="str">
            <v>Figurado</v>
          </cell>
        </row>
        <row r="833">
          <cell r="A833">
            <v>1000017419</v>
          </cell>
          <cell r="B833">
            <v>40564</v>
          </cell>
          <cell r="D833">
            <v>282</v>
          </cell>
          <cell r="E833" t="str">
            <v>Figurado</v>
          </cell>
        </row>
        <row r="834">
          <cell r="A834">
            <v>1000017420</v>
          </cell>
          <cell r="B834">
            <v>40564</v>
          </cell>
          <cell r="D834">
            <v>8539.4</v>
          </cell>
          <cell r="E834" t="str">
            <v>Figurado</v>
          </cell>
        </row>
        <row r="835">
          <cell r="A835">
            <v>1000017421</v>
          </cell>
          <cell r="B835">
            <v>40565</v>
          </cell>
          <cell r="D835">
            <v>1788</v>
          </cell>
          <cell r="E835" t="str">
            <v>Materia Prima</v>
          </cell>
        </row>
        <row r="836">
          <cell r="A836">
            <v>1000017421</v>
          </cell>
          <cell r="B836">
            <v>40565</v>
          </cell>
          <cell r="D836">
            <v>2380.8000000000002</v>
          </cell>
          <cell r="E836" t="str">
            <v>Figurado</v>
          </cell>
        </row>
        <row r="837">
          <cell r="A837">
            <v>1000017422</v>
          </cell>
          <cell r="B837">
            <v>40565</v>
          </cell>
          <cell r="D837">
            <v>838.1</v>
          </cell>
          <cell r="E837" t="str">
            <v>Figurado</v>
          </cell>
        </row>
        <row r="838">
          <cell r="A838">
            <v>1000017422</v>
          </cell>
          <cell r="B838">
            <v>40565</v>
          </cell>
          <cell r="D838">
            <v>207</v>
          </cell>
          <cell r="E838" t="str">
            <v>Figurado</v>
          </cell>
        </row>
        <row r="839">
          <cell r="A839">
            <v>1000017422</v>
          </cell>
          <cell r="B839">
            <v>40565</v>
          </cell>
          <cell r="D839">
            <v>1366.6</v>
          </cell>
          <cell r="E839" t="str">
            <v>Figurado</v>
          </cell>
        </row>
        <row r="840">
          <cell r="A840">
            <v>1000017422</v>
          </cell>
          <cell r="B840">
            <v>40565</v>
          </cell>
          <cell r="D840">
            <v>1575.4</v>
          </cell>
          <cell r="E840" t="str">
            <v>Figurado</v>
          </cell>
        </row>
        <row r="841">
          <cell r="A841">
            <v>1000017422</v>
          </cell>
          <cell r="B841">
            <v>40565</v>
          </cell>
          <cell r="D841">
            <v>985.3</v>
          </cell>
          <cell r="E841" t="str">
            <v>Figurado</v>
          </cell>
        </row>
        <row r="842">
          <cell r="A842">
            <v>1000017422</v>
          </cell>
          <cell r="B842">
            <v>40565</v>
          </cell>
          <cell r="D842">
            <v>634</v>
          </cell>
          <cell r="E842" t="str">
            <v>Figurado</v>
          </cell>
        </row>
        <row r="843">
          <cell r="A843">
            <v>1000017423</v>
          </cell>
          <cell r="B843">
            <v>40565</v>
          </cell>
          <cell r="D843">
            <v>257</v>
          </cell>
          <cell r="E843" t="str">
            <v>Materia Prima</v>
          </cell>
        </row>
        <row r="844">
          <cell r="A844">
            <v>1000017423</v>
          </cell>
          <cell r="B844">
            <v>40565</v>
          </cell>
          <cell r="D844">
            <v>1606.9</v>
          </cell>
          <cell r="E844" t="str">
            <v>Figurado</v>
          </cell>
        </row>
        <row r="845">
          <cell r="A845">
            <v>1000017423</v>
          </cell>
          <cell r="B845">
            <v>40565</v>
          </cell>
          <cell r="D845">
            <v>1622.6</v>
          </cell>
          <cell r="E845" t="str">
            <v>Figurado</v>
          </cell>
        </row>
        <row r="846">
          <cell r="A846">
            <v>1000017423</v>
          </cell>
          <cell r="B846">
            <v>40565</v>
          </cell>
          <cell r="D846">
            <v>2585.6999999999998</v>
          </cell>
          <cell r="E846" t="str">
            <v>Figurado</v>
          </cell>
        </row>
        <row r="847">
          <cell r="A847">
            <v>1000017423</v>
          </cell>
          <cell r="B847">
            <v>40565</v>
          </cell>
          <cell r="D847">
            <v>316</v>
          </cell>
          <cell r="E847" t="str">
            <v>Figurado</v>
          </cell>
        </row>
        <row r="848">
          <cell r="A848">
            <v>1000017429</v>
          </cell>
          <cell r="B848">
            <v>40565</v>
          </cell>
          <cell r="D848">
            <v>865.26</v>
          </cell>
          <cell r="E848" t="str">
            <v>Mallas</v>
          </cell>
        </row>
        <row r="849">
          <cell r="A849">
            <v>1000017430</v>
          </cell>
          <cell r="B849">
            <v>40565</v>
          </cell>
          <cell r="D849">
            <v>1053.3599999999999</v>
          </cell>
          <cell r="E849" t="str">
            <v>Mallas</v>
          </cell>
        </row>
        <row r="850">
          <cell r="A850">
            <v>1000017431</v>
          </cell>
          <cell r="B850">
            <v>40565</v>
          </cell>
          <cell r="D850">
            <v>1053.3599999999999</v>
          </cell>
          <cell r="E850" t="str">
            <v>Mallas</v>
          </cell>
        </row>
        <row r="851">
          <cell r="A851">
            <v>1000017432</v>
          </cell>
          <cell r="B851">
            <v>40565</v>
          </cell>
          <cell r="D851">
            <v>1476.3</v>
          </cell>
          <cell r="E851" t="str">
            <v>Mallas</v>
          </cell>
        </row>
        <row r="852">
          <cell r="A852">
            <v>1000017432</v>
          </cell>
          <cell r="B852">
            <v>40565</v>
          </cell>
          <cell r="D852">
            <v>98.8</v>
          </cell>
          <cell r="E852" t="str">
            <v>Mallas</v>
          </cell>
        </row>
        <row r="853">
          <cell r="A853">
            <v>1000017432</v>
          </cell>
          <cell r="B853">
            <v>40565</v>
          </cell>
          <cell r="D853">
            <v>659.3</v>
          </cell>
          <cell r="E853" t="str">
            <v>Mallas</v>
          </cell>
        </row>
        <row r="854">
          <cell r="A854">
            <v>1000017433</v>
          </cell>
          <cell r="B854">
            <v>40565</v>
          </cell>
          <cell r="D854">
            <v>1085.76</v>
          </cell>
          <cell r="E854" t="str">
            <v>Mallas</v>
          </cell>
        </row>
        <row r="855">
          <cell r="A855">
            <v>1000017434</v>
          </cell>
          <cell r="B855">
            <v>40565</v>
          </cell>
          <cell r="D855">
            <v>3024</v>
          </cell>
          <cell r="E855" t="str">
            <v>Materia Prima</v>
          </cell>
        </row>
        <row r="856">
          <cell r="A856">
            <v>1000017435</v>
          </cell>
          <cell r="B856">
            <v>40565</v>
          </cell>
          <cell r="D856">
            <v>5162.8999999999996</v>
          </cell>
          <cell r="E856" t="str">
            <v>Figurado</v>
          </cell>
        </row>
        <row r="857">
          <cell r="A857">
            <v>1000017436</v>
          </cell>
          <cell r="B857">
            <v>40565</v>
          </cell>
          <cell r="D857">
            <v>17709</v>
          </cell>
          <cell r="E857" t="str">
            <v>Materia Prima</v>
          </cell>
        </row>
        <row r="858">
          <cell r="A858">
            <v>1000017437</v>
          </cell>
          <cell r="B858">
            <v>40565</v>
          </cell>
          <cell r="D858">
            <v>17780</v>
          </cell>
          <cell r="E858" t="str">
            <v>Materia Prima</v>
          </cell>
        </row>
        <row r="859">
          <cell r="A859">
            <v>1000017440</v>
          </cell>
          <cell r="B859">
            <v>40566</v>
          </cell>
          <cell r="D859">
            <v>1116</v>
          </cell>
          <cell r="E859" t="str">
            <v>Figurado</v>
          </cell>
        </row>
        <row r="860">
          <cell r="A860">
            <v>1000017441</v>
          </cell>
          <cell r="B860">
            <v>40566</v>
          </cell>
          <cell r="D860">
            <v>9729.5</v>
          </cell>
          <cell r="E860" t="str">
            <v>Figurado</v>
          </cell>
        </row>
        <row r="861">
          <cell r="A861">
            <v>1000017442</v>
          </cell>
          <cell r="B861">
            <v>40567</v>
          </cell>
          <cell r="D861">
            <v>7894.6</v>
          </cell>
          <cell r="E861" t="str">
            <v>Figurado</v>
          </cell>
        </row>
        <row r="862">
          <cell r="A862">
            <v>1000017443</v>
          </cell>
          <cell r="B862">
            <v>40567</v>
          </cell>
          <cell r="D862">
            <v>2824.8</v>
          </cell>
          <cell r="E862" t="str">
            <v>Figurado</v>
          </cell>
        </row>
        <row r="863">
          <cell r="A863">
            <v>1000017444</v>
          </cell>
          <cell r="B863">
            <v>40567</v>
          </cell>
          <cell r="D863">
            <v>350.2</v>
          </cell>
          <cell r="E863" t="str">
            <v>Figurado</v>
          </cell>
        </row>
        <row r="864">
          <cell r="A864">
            <v>1000017444</v>
          </cell>
          <cell r="B864">
            <v>40567</v>
          </cell>
          <cell r="D864">
            <v>18</v>
          </cell>
          <cell r="E864" t="str">
            <v>Figurado</v>
          </cell>
        </row>
        <row r="865">
          <cell r="A865">
            <v>1000017444</v>
          </cell>
          <cell r="B865">
            <v>40567</v>
          </cell>
          <cell r="D865">
            <v>1514</v>
          </cell>
          <cell r="E865" t="str">
            <v>Figurado</v>
          </cell>
        </row>
        <row r="866">
          <cell r="A866">
            <v>1000017444</v>
          </cell>
          <cell r="B866">
            <v>40567</v>
          </cell>
          <cell r="D866">
            <v>3311.5</v>
          </cell>
          <cell r="E866" t="str">
            <v>Figurado</v>
          </cell>
        </row>
        <row r="867">
          <cell r="A867">
            <v>1000017444</v>
          </cell>
          <cell r="B867">
            <v>40567</v>
          </cell>
          <cell r="D867">
            <v>5454</v>
          </cell>
          <cell r="E867" t="str">
            <v>Figurado</v>
          </cell>
        </row>
        <row r="868">
          <cell r="A868">
            <v>1000017445</v>
          </cell>
          <cell r="B868">
            <v>40567</v>
          </cell>
          <cell r="D868">
            <v>2681.5</v>
          </cell>
          <cell r="E868" t="str">
            <v>Figurado</v>
          </cell>
        </row>
        <row r="869">
          <cell r="A869">
            <v>1000017446</v>
          </cell>
          <cell r="B869">
            <v>40567</v>
          </cell>
          <cell r="D869">
            <v>2893.6</v>
          </cell>
          <cell r="E869" t="str">
            <v>Figurado</v>
          </cell>
        </row>
        <row r="870">
          <cell r="A870">
            <v>1000017446</v>
          </cell>
          <cell r="B870">
            <v>40567</v>
          </cell>
          <cell r="D870">
            <v>378</v>
          </cell>
          <cell r="E870" t="str">
            <v>Figurado</v>
          </cell>
        </row>
        <row r="871">
          <cell r="A871">
            <v>1000017447</v>
          </cell>
          <cell r="B871">
            <v>40567</v>
          </cell>
          <cell r="D871">
            <v>546.79999999999995</v>
          </cell>
          <cell r="E871" t="str">
            <v>Figurado</v>
          </cell>
        </row>
        <row r="872">
          <cell r="A872">
            <v>1000017448</v>
          </cell>
          <cell r="B872">
            <v>40567</v>
          </cell>
          <cell r="D872">
            <v>161.1</v>
          </cell>
          <cell r="E872" t="str">
            <v>Figurado</v>
          </cell>
        </row>
        <row r="873">
          <cell r="A873">
            <v>1000017449</v>
          </cell>
          <cell r="B873">
            <v>40567</v>
          </cell>
          <cell r="D873">
            <v>2225.8000000000002</v>
          </cell>
          <cell r="E873" t="str">
            <v>Figurado</v>
          </cell>
        </row>
        <row r="874">
          <cell r="A874">
            <v>1000017450</v>
          </cell>
          <cell r="B874">
            <v>40567</v>
          </cell>
          <cell r="D874">
            <v>2005.8</v>
          </cell>
          <cell r="E874" t="str">
            <v>Figurado</v>
          </cell>
        </row>
        <row r="875">
          <cell r="A875">
            <v>1000017451</v>
          </cell>
          <cell r="B875">
            <v>40567</v>
          </cell>
          <cell r="D875">
            <v>355.8</v>
          </cell>
          <cell r="E875" t="str">
            <v>Figurado</v>
          </cell>
        </row>
        <row r="876">
          <cell r="A876">
            <v>1000017459</v>
          </cell>
          <cell r="B876">
            <v>40567</v>
          </cell>
          <cell r="D876">
            <v>26.9</v>
          </cell>
          <cell r="E876" t="str">
            <v>Materia Prima</v>
          </cell>
        </row>
        <row r="877">
          <cell r="A877">
            <v>1000017459</v>
          </cell>
          <cell r="B877">
            <v>40567</v>
          </cell>
          <cell r="D877">
            <v>72</v>
          </cell>
          <cell r="E877" t="str">
            <v>Materia Prima</v>
          </cell>
        </row>
        <row r="878">
          <cell r="A878">
            <v>1000017459</v>
          </cell>
          <cell r="B878">
            <v>40567</v>
          </cell>
          <cell r="D878">
            <v>51.2</v>
          </cell>
          <cell r="E878" t="str">
            <v>Figurado</v>
          </cell>
        </row>
        <row r="879">
          <cell r="A879">
            <v>1000017459</v>
          </cell>
          <cell r="B879">
            <v>40567</v>
          </cell>
          <cell r="D879">
            <v>1990</v>
          </cell>
          <cell r="E879" t="str">
            <v>Figurado</v>
          </cell>
        </row>
        <row r="880">
          <cell r="A880">
            <v>1000017459</v>
          </cell>
          <cell r="B880">
            <v>40567</v>
          </cell>
          <cell r="D880">
            <v>812.9</v>
          </cell>
          <cell r="E880" t="str">
            <v>Figurado</v>
          </cell>
        </row>
        <row r="881">
          <cell r="A881">
            <v>1000017459</v>
          </cell>
          <cell r="B881">
            <v>40567</v>
          </cell>
          <cell r="D881">
            <v>864.2</v>
          </cell>
          <cell r="E881" t="str">
            <v>Figurado</v>
          </cell>
        </row>
        <row r="882">
          <cell r="A882">
            <v>1000017459</v>
          </cell>
          <cell r="B882">
            <v>40567</v>
          </cell>
          <cell r="D882">
            <v>272.5</v>
          </cell>
          <cell r="E882" t="str">
            <v>Figurado</v>
          </cell>
        </row>
        <row r="883">
          <cell r="A883">
            <v>1000017459</v>
          </cell>
          <cell r="B883">
            <v>40567</v>
          </cell>
          <cell r="D883">
            <v>62.4</v>
          </cell>
          <cell r="E883" t="str">
            <v>Figurado</v>
          </cell>
        </row>
        <row r="884">
          <cell r="A884">
            <v>1000017460</v>
          </cell>
          <cell r="B884">
            <v>40567</v>
          </cell>
          <cell r="D884">
            <v>1890.7</v>
          </cell>
          <cell r="E884" t="str">
            <v>Materia Prima</v>
          </cell>
        </row>
        <row r="885">
          <cell r="A885">
            <v>1000017460</v>
          </cell>
          <cell r="B885">
            <v>40567</v>
          </cell>
          <cell r="D885">
            <v>2779.2</v>
          </cell>
          <cell r="E885" t="str">
            <v>Figurado</v>
          </cell>
        </row>
        <row r="886">
          <cell r="A886">
            <v>1000017465</v>
          </cell>
          <cell r="B886">
            <v>40567</v>
          </cell>
          <cell r="D886">
            <v>11734.8</v>
          </cell>
          <cell r="E886" t="str">
            <v>Figurado</v>
          </cell>
        </row>
        <row r="887">
          <cell r="A887">
            <v>1000017484</v>
          </cell>
          <cell r="B887">
            <v>40567</v>
          </cell>
          <cell r="D887">
            <v>360</v>
          </cell>
          <cell r="E887" t="str">
            <v>Figurado</v>
          </cell>
        </row>
        <row r="888">
          <cell r="A888">
            <v>1000017484</v>
          </cell>
          <cell r="B888">
            <v>40567</v>
          </cell>
          <cell r="D888">
            <v>187.2</v>
          </cell>
          <cell r="E888" t="str">
            <v>Figurado</v>
          </cell>
        </row>
        <row r="889">
          <cell r="A889">
            <v>1000017357</v>
          </cell>
          <cell r="B889">
            <v>40562</v>
          </cell>
          <cell r="D889">
            <v>11191.2</v>
          </cell>
          <cell r="E889" t="str">
            <v>Figurado</v>
          </cell>
        </row>
        <row r="890">
          <cell r="A890">
            <v>1000017401</v>
          </cell>
          <cell r="B890">
            <v>40564</v>
          </cell>
          <cell r="D890">
            <v>175.6</v>
          </cell>
          <cell r="E890" t="str">
            <v>Figurado</v>
          </cell>
        </row>
        <row r="891">
          <cell r="A891">
            <v>1000017401</v>
          </cell>
          <cell r="B891">
            <v>40564</v>
          </cell>
          <cell r="D891">
            <v>590</v>
          </cell>
          <cell r="E891" t="str">
            <v>Figurado</v>
          </cell>
        </row>
        <row r="892">
          <cell r="A892">
            <v>1000017401</v>
          </cell>
          <cell r="B892">
            <v>40564</v>
          </cell>
          <cell r="D892">
            <v>640.20000000000005</v>
          </cell>
          <cell r="E892" t="str">
            <v>Figurado</v>
          </cell>
        </row>
        <row r="893">
          <cell r="A893">
            <v>1000017461</v>
          </cell>
          <cell r="B893">
            <v>40567</v>
          </cell>
          <cell r="D893">
            <v>966.9</v>
          </cell>
          <cell r="E893" t="str">
            <v>Figurado</v>
          </cell>
        </row>
        <row r="894">
          <cell r="A894">
            <v>1000017462</v>
          </cell>
          <cell r="B894">
            <v>40567</v>
          </cell>
          <cell r="D894">
            <v>432.9</v>
          </cell>
          <cell r="E894" t="str">
            <v>Figurado</v>
          </cell>
        </row>
        <row r="895">
          <cell r="A895">
            <v>1000017463</v>
          </cell>
          <cell r="B895">
            <v>40567</v>
          </cell>
          <cell r="D895">
            <v>358</v>
          </cell>
          <cell r="E895" t="str">
            <v>Figurado</v>
          </cell>
        </row>
        <row r="896">
          <cell r="A896">
            <v>1000017464</v>
          </cell>
          <cell r="B896">
            <v>40567</v>
          </cell>
          <cell r="D896">
            <v>3536.6</v>
          </cell>
          <cell r="E896" t="str">
            <v>Figurado</v>
          </cell>
        </row>
        <row r="897">
          <cell r="A897">
            <v>1000017468</v>
          </cell>
          <cell r="B897">
            <v>40567</v>
          </cell>
          <cell r="D897">
            <v>1199.2</v>
          </cell>
          <cell r="E897" t="str">
            <v>Figurado</v>
          </cell>
        </row>
        <row r="898">
          <cell r="A898">
            <v>1000017468</v>
          </cell>
          <cell r="B898">
            <v>40567</v>
          </cell>
          <cell r="D898">
            <v>1101</v>
          </cell>
          <cell r="E898" t="str">
            <v>Figurado</v>
          </cell>
        </row>
        <row r="899">
          <cell r="A899">
            <v>1000017468</v>
          </cell>
          <cell r="B899">
            <v>40567</v>
          </cell>
          <cell r="D899">
            <v>2542</v>
          </cell>
          <cell r="E899" t="str">
            <v>Figurado</v>
          </cell>
        </row>
        <row r="900">
          <cell r="A900">
            <v>1000017471</v>
          </cell>
          <cell r="B900">
            <v>40567</v>
          </cell>
          <cell r="D900">
            <v>5855.7</v>
          </cell>
          <cell r="E900" t="str">
            <v>Figurado</v>
          </cell>
        </row>
        <row r="901">
          <cell r="A901">
            <v>1000017479</v>
          </cell>
          <cell r="B901">
            <v>40567</v>
          </cell>
          <cell r="D901">
            <v>2291.9</v>
          </cell>
          <cell r="E901" t="str">
            <v>Figurado</v>
          </cell>
        </row>
        <row r="902">
          <cell r="A902">
            <v>1000017480</v>
          </cell>
          <cell r="B902">
            <v>40567</v>
          </cell>
          <cell r="D902">
            <v>550.29999999999995</v>
          </cell>
          <cell r="E902" t="str">
            <v>Figurado</v>
          </cell>
        </row>
        <row r="903">
          <cell r="A903">
            <v>1000017480</v>
          </cell>
          <cell r="B903">
            <v>40567</v>
          </cell>
          <cell r="D903">
            <v>62</v>
          </cell>
          <cell r="E903" t="str">
            <v>Figurado</v>
          </cell>
        </row>
        <row r="904">
          <cell r="A904">
            <v>1000017481</v>
          </cell>
          <cell r="B904">
            <v>40567</v>
          </cell>
          <cell r="D904">
            <v>264.60000000000002</v>
          </cell>
          <cell r="E904" t="str">
            <v>Figurado</v>
          </cell>
        </row>
        <row r="905">
          <cell r="A905">
            <v>1000017481</v>
          </cell>
          <cell r="B905">
            <v>40567</v>
          </cell>
          <cell r="D905">
            <v>193</v>
          </cell>
          <cell r="E905" t="str">
            <v>Figurado</v>
          </cell>
        </row>
        <row r="906">
          <cell r="A906">
            <v>1000017482</v>
          </cell>
          <cell r="B906">
            <v>40567</v>
          </cell>
          <cell r="D906">
            <v>993.7</v>
          </cell>
          <cell r="E906" t="str">
            <v>Figurado</v>
          </cell>
        </row>
        <row r="907">
          <cell r="A907">
            <v>1000017486</v>
          </cell>
          <cell r="B907">
            <v>40568</v>
          </cell>
          <cell r="D907">
            <v>215</v>
          </cell>
          <cell r="E907" t="str">
            <v>Figurado</v>
          </cell>
        </row>
        <row r="908">
          <cell r="A908">
            <v>1000017486</v>
          </cell>
          <cell r="B908">
            <v>40568</v>
          </cell>
          <cell r="D908">
            <v>672</v>
          </cell>
          <cell r="E908" t="str">
            <v>Figurado</v>
          </cell>
        </row>
        <row r="909">
          <cell r="A909">
            <v>1000017486</v>
          </cell>
          <cell r="B909">
            <v>40568</v>
          </cell>
          <cell r="D909">
            <v>861.1</v>
          </cell>
          <cell r="E909" t="str">
            <v>Figurado</v>
          </cell>
        </row>
        <row r="910">
          <cell r="A910">
            <v>1000017487</v>
          </cell>
          <cell r="B910">
            <v>40568</v>
          </cell>
          <cell r="D910">
            <v>121</v>
          </cell>
          <cell r="E910" t="str">
            <v>Figurado</v>
          </cell>
        </row>
        <row r="911">
          <cell r="A911">
            <v>1000017487</v>
          </cell>
          <cell r="B911">
            <v>40568</v>
          </cell>
          <cell r="D911">
            <v>480</v>
          </cell>
          <cell r="E911" t="str">
            <v>Figurado</v>
          </cell>
        </row>
        <row r="912">
          <cell r="A912">
            <v>1000017487</v>
          </cell>
          <cell r="B912">
            <v>40568</v>
          </cell>
          <cell r="D912">
            <v>524.20000000000005</v>
          </cell>
          <cell r="E912" t="str">
            <v>Figurado</v>
          </cell>
        </row>
        <row r="913">
          <cell r="A913">
            <v>1000017489</v>
          </cell>
          <cell r="B913">
            <v>40568</v>
          </cell>
          <cell r="D913">
            <v>459.2</v>
          </cell>
          <cell r="E913" t="str">
            <v>Figurado</v>
          </cell>
        </row>
        <row r="914">
          <cell r="A914">
            <v>1000017494</v>
          </cell>
          <cell r="B914">
            <v>40568</v>
          </cell>
          <cell r="D914">
            <v>304.3</v>
          </cell>
          <cell r="E914" t="str">
            <v>Figurado</v>
          </cell>
        </row>
        <row r="915">
          <cell r="A915">
            <v>1000017494</v>
          </cell>
          <cell r="B915">
            <v>40568</v>
          </cell>
          <cell r="D915">
            <v>639</v>
          </cell>
          <cell r="E915" t="str">
            <v>Figurado</v>
          </cell>
        </row>
        <row r="916">
          <cell r="A916">
            <v>1000017495</v>
          </cell>
          <cell r="B916">
            <v>40568</v>
          </cell>
          <cell r="D916">
            <v>353.5</v>
          </cell>
          <cell r="E916" t="str">
            <v>Figurado</v>
          </cell>
        </row>
        <row r="917">
          <cell r="A917">
            <v>1000017495</v>
          </cell>
          <cell r="B917">
            <v>40568</v>
          </cell>
          <cell r="D917">
            <v>713.7</v>
          </cell>
          <cell r="E917" t="str">
            <v>Figurado</v>
          </cell>
        </row>
        <row r="918">
          <cell r="A918">
            <v>1000017496</v>
          </cell>
          <cell r="B918">
            <v>40568</v>
          </cell>
          <cell r="D918">
            <v>8100</v>
          </cell>
          <cell r="E918" t="str">
            <v>Figurado</v>
          </cell>
        </row>
        <row r="919">
          <cell r="A919">
            <v>1000017497</v>
          </cell>
          <cell r="B919">
            <v>40568</v>
          </cell>
          <cell r="D919">
            <v>108.5</v>
          </cell>
          <cell r="E919" t="str">
            <v>Figurado</v>
          </cell>
        </row>
        <row r="920">
          <cell r="A920">
            <v>1000017497</v>
          </cell>
          <cell r="B920">
            <v>40568</v>
          </cell>
          <cell r="D920">
            <v>1131.0999999999999</v>
          </cell>
          <cell r="E920" t="str">
            <v>Figurado</v>
          </cell>
        </row>
        <row r="921">
          <cell r="A921">
            <v>1000017499</v>
          </cell>
          <cell r="B921">
            <v>40568</v>
          </cell>
          <cell r="D921">
            <v>1852.3</v>
          </cell>
          <cell r="E921" t="str">
            <v>Figurado</v>
          </cell>
        </row>
        <row r="922">
          <cell r="A922">
            <v>1000017500</v>
          </cell>
          <cell r="B922">
            <v>40568</v>
          </cell>
          <cell r="D922">
            <v>13.4</v>
          </cell>
          <cell r="E922" t="str">
            <v>Figurado</v>
          </cell>
        </row>
        <row r="923">
          <cell r="A923">
            <v>1000017501</v>
          </cell>
          <cell r="B923">
            <v>40568</v>
          </cell>
          <cell r="D923">
            <v>1587.9</v>
          </cell>
          <cell r="E923" t="str">
            <v>Figurado</v>
          </cell>
        </row>
        <row r="924">
          <cell r="A924">
            <v>1000017501</v>
          </cell>
          <cell r="B924">
            <v>40568</v>
          </cell>
          <cell r="D924">
            <v>1583.8</v>
          </cell>
          <cell r="E924" t="str">
            <v>Figurado</v>
          </cell>
        </row>
        <row r="925">
          <cell r="A925">
            <v>1000017502</v>
          </cell>
          <cell r="B925">
            <v>40568</v>
          </cell>
          <cell r="D925">
            <v>2010.1</v>
          </cell>
          <cell r="E925" t="str">
            <v>Figurado</v>
          </cell>
        </row>
        <row r="926">
          <cell r="A926">
            <v>1000017502</v>
          </cell>
          <cell r="B926">
            <v>40568</v>
          </cell>
          <cell r="D926">
            <v>1844.7</v>
          </cell>
          <cell r="E926" t="str">
            <v>Figurado</v>
          </cell>
        </row>
        <row r="927">
          <cell r="A927">
            <v>1000017502</v>
          </cell>
          <cell r="B927">
            <v>40568</v>
          </cell>
          <cell r="D927">
            <v>1633</v>
          </cell>
          <cell r="E927" t="str">
            <v>Materia Prima</v>
          </cell>
        </row>
        <row r="928">
          <cell r="A928">
            <v>1000017503</v>
          </cell>
          <cell r="B928">
            <v>40568</v>
          </cell>
          <cell r="D928">
            <v>9734.4</v>
          </cell>
          <cell r="E928" t="str">
            <v>Materia Prima</v>
          </cell>
        </row>
        <row r="929">
          <cell r="A929">
            <v>1000017503</v>
          </cell>
          <cell r="B929">
            <v>40568</v>
          </cell>
          <cell r="D929">
            <v>72.7</v>
          </cell>
          <cell r="E929" t="str">
            <v>Figurado</v>
          </cell>
        </row>
        <row r="930">
          <cell r="A930">
            <v>1000017503</v>
          </cell>
          <cell r="B930">
            <v>40568</v>
          </cell>
          <cell r="D930">
            <v>947.5</v>
          </cell>
          <cell r="E930" t="str">
            <v>Figurado</v>
          </cell>
        </row>
        <row r="931">
          <cell r="A931">
            <v>1000017503</v>
          </cell>
          <cell r="B931">
            <v>40568</v>
          </cell>
          <cell r="D931">
            <v>68.8</v>
          </cell>
          <cell r="E931" t="str">
            <v>Figurado</v>
          </cell>
        </row>
        <row r="932">
          <cell r="A932">
            <v>1000017505</v>
          </cell>
          <cell r="B932">
            <v>40568</v>
          </cell>
          <cell r="D932">
            <v>25.2</v>
          </cell>
          <cell r="E932" t="str">
            <v>Figurado</v>
          </cell>
        </row>
        <row r="933">
          <cell r="A933">
            <v>1000017505</v>
          </cell>
          <cell r="B933">
            <v>40568</v>
          </cell>
          <cell r="D933">
            <v>267.60000000000002</v>
          </cell>
          <cell r="E933" t="str">
            <v>Figurado</v>
          </cell>
        </row>
        <row r="934">
          <cell r="A934">
            <v>1000017506</v>
          </cell>
          <cell r="B934">
            <v>40568</v>
          </cell>
          <cell r="D934">
            <v>200</v>
          </cell>
          <cell r="E934" t="str">
            <v>Materia Prima</v>
          </cell>
        </row>
        <row r="935">
          <cell r="A935">
            <v>1000017506</v>
          </cell>
          <cell r="B935">
            <v>40568</v>
          </cell>
          <cell r="D935">
            <v>33.6</v>
          </cell>
          <cell r="E935" t="str">
            <v>Materia Prima</v>
          </cell>
        </row>
        <row r="936">
          <cell r="A936">
            <v>1000017506</v>
          </cell>
          <cell r="B936">
            <v>40568</v>
          </cell>
          <cell r="D936">
            <v>48</v>
          </cell>
          <cell r="E936" t="str">
            <v>Materia Prima</v>
          </cell>
        </row>
        <row r="937">
          <cell r="A937">
            <v>1000017506</v>
          </cell>
          <cell r="B937">
            <v>40568</v>
          </cell>
          <cell r="D937">
            <v>1773.1</v>
          </cell>
          <cell r="E937" t="str">
            <v>Figurado</v>
          </cell>
        </row>
        <row r="938">
          <cell r="A938">
            <v>1000017507</v>
          </cell>
          <cell r="B938">
            <v>40568</v>
          </cell>
          <cell r="D938">
            <v>7441.2</v>
          </cell>
          <cell r="E938" t="str">
            <v>Figurado</v>
          </cell>
        </row>
        <row r="939">
          <cell r="A939">
            <v>1000017508</v>
          </cell>
          <cell r="B939">
            <v>40568</v>
          </cell>
          <cell r="D939">
            <v>428</v>
          </cell>
          <cell r="E939" t="str">
            <v>Figurado</v>
          </cell>
        </row>
        <row r="940">
          <cell r="A940">
            <v>1000017508</v>
          </cell>
          <cell r="B940">
            <v>40568</v>
          </cell>
          <cell r="D940">
            <v>1378.7</v>
          </cell>
          <cell r="E940" t="str">
            <v>Figurado</v>
          </cell>
        </row>
        <row r="941">
          <cell r="A941">
            <v>1000017508</v>
          </cell>
          <cell r="B941">
            <v>40568</v>
          </cell>
          <cell r="D941">
            <v>2604.1</v>
          </cell>
          <cell r="E941" t="str">
            <v>Figurado</v>
          </cell>
        </row>
        <row r="942">
          <cell r="A942">
            <v>1000017509</v>
          </cell>
          <cell r="B942">
            <v>40568</v>
          </cell>
          <cell r="D942">
            <v>1014.3</v>
          </cell>
          <cell r="E942" t="str">
            <v>Figurado</v>
          </cell>
        </row>
        <row r="943">
          <cell r="A943">
            <v>1000017510</v>
          </cell>
          <cell r="B943">
            <v>40568</v>
          </cell>
          <cell r="D943">
            <v>48</v>
          </cell>
          <cell r="E943" t="str">
            <v>Figurado</v>
          </cell>
        </row>
        <row r="944">
          <cell r="A944">
            <v>1000017510</v>
          </cell>
          <cell r="B944">
            <v>40568</v>
          </cell>
          <cell r="D944">
            <v>3172.7</v>
          </cell>
          <cell r="E944" t="str">
            <v>Figurado</v>
          </cell>
        </row>
        <row r="945">
          <cell r="A945">
            <v>1000017510</v>
          </cell>
          <cell r="B945">
            <v>40568</v>
          </cell>
          <cell r="D945">
            <v>2584.4</v>
          </cell>
          <cell r="E945" t="str">
            <v>Figurado</v>
          </cell>
        </row>
        <row r="946">
          <cell r="A946">
            <v>1000017510</v>
          </cell>
          <cell r="B946">
            <v>40568</v>
          </cell>
          <cell r="D946">
            <v>605.9</v>
          </cell>
          <cell r="E946" t="str">
            <v>Figurado</v>
          </cell>
        </row>
        <row r="947">
          <cell r="A947">
            <v>1000017513</v>
          </cell>
          <cell r="B947">
            <v>40568</v>
          </cell>
          <cell r="D947">
            <v>40</v>
          </cell>
          <cell r="E947" t="str">
            <v>Materia Prima</v>
          </cell>
        </row>
        <row r="948">
          <cell r="A948">
            <v>1000017564</v>
          </cell>
          <cell r="B948">
            <v>40568</v>
          </cell>
          <cell r="D948">
            <v>201.1</v>
          </cell>
          <cell r="E948" t="str">
            <v>Figurado</v>
          </cell>
        </row>
        <row r="949">
          <cell r="A949">
            <v>1000017564</v>
          </cell>
          <cell r="B949">
            <v>40568</v>
          </cell>
          <cell r="D949">
            <v>2922.4</v>
          </cell>
          <cell r="E949" t="str">
            <v>Figurado</v>
          </cell>
        </row>
        <row r="950">
          <cell r="A950">
            <v>1000017564</v>
          </cell>
          <cell r="B950">
            <v>40568</v>
          </cell>
          <cell r="D950">
            <v>3572.4</v>
          </cell>
          <cell r="E950" t="str">
            <v>Figurado</v>
          </cell>
        </row>
        <row r="951">
          <cell r="A951">
            <v>1000017564</v>
          </cell>
          <cell r="B951">
            <v>40568</v>
          </cell>
          <cell r="D951">
            <v>2282.9</v>
          </cell>
          <cell r="E951" t="str">
            <v>Figurado</v>
          </cell>
        </row>
        <row r="952">
          <cell r="A952">
            <v>1000017424</v>
          </cell>
          <cell r="B952">
            <v>40565</v>
          </cell>
          <cell r="D952">
            <v>6</v>
          </cell>
          <cell r="E952" t="str">
            <v>Figurado</v>
          </cell>
        </row>
        <row r="953">
          <cell r="A953">
            <v>1000017424</v>
          </cell>
          <cell r="B953">
            <v>40565</v>
          </cell>
          <cell r="D953">
            <v>5790.7</v>
          </cell>
          <cell r="E953" t="str">
            <v>Figurado</v>
          </cell>
        </row>
        <row r="954">
          <cell r="A954">
            <v>1000017424</v>
          </cell>
          <cell r="B954">
            <v>40565</v>
          </cell>
          <cell r="D954">
            <v>405</v>
          </cell>
          <cell r="E954" t="str">
            <v>Figurado</v>
          </cell>
        </row>
        <row r="955">
          <cell r="A955">
            <v>1000017424</v>
          </cell>
          <cell r="B955">
            <v>40565</v>
          </cell>
          <cell r="D955">
            <v>4499.5</v>
          </cell>
          <cell r="E955" t="str">
            <v>Figurado</v>
          </cell>
        </row>
        <row r="956">
          <cell r="A956">
            <v>1000017424</v>
          </cell>
          <cell r="B956">
            <v>40565</v>
          </cell>
          <cell r="D956">
            <v>777</v>
          </cell>
          <cell r="E956" t="str">
            <v>Figurado</v>
          </cell>
        </row>
        <row r="957">
          <cell r="A957">
            <v>1000017425</v>
          </cell>
          <cell r="B957">
            <v>40565</v>
          </cell>
          <cell r="D957">
            <v>246</v>
          </cell>
          <cell r="E957" t="str">
            <v>Materia Prima</v>
          </cell>
        </row>
        <row r="958">
          <cell r="A958">
            <v>1000017425</v>
          </cell>
          <cell r="B958">
            <v>40565</v>
          </cell>
          <cell r="D958">
            <v>187.9</v>
          </cell>
          <cell r="E958" t="str">
            <v>Materia Prima</v>
          </cell>
        </row>
        <row r="959">
          <cell r="A959">
            <v>1000017425</v>
          </cell>
          <cell r="B959">
            <v>40565</v>
          </cell>
          <cell r="D959">
            <v>44.7</v>
          </cell>
          <cell r="E959" t="str">
            <v>Materia Prima</v>
          </cell>
        </row>
        <row r="960">
          <cell r="A960">
            <v>1000017425</v>
          </cell>
          <cell r="B960">
            <v>40565</v>
          </cell>
          <cell r="D960">
            <v>178.5</v>
          </cell>
          <cell r="E960" t="str">
            <v>Materia Prima</v>
          </cell>
        </row>
        <row r="961">
          <cell r="A961">
            <v>1000017425</v>
          </cell>
          <cell r="B961">
            <v>40565</v>
          </cell>
          <cell r="D961">
            <v>87.024000000000001</v>
          </cell>
          <cell r="E961" t="str">
            <v>Materia Prima</v>
          </cell>
        </row>
        <row r="962">
          <cell r="A962">
            <v>1000017426</v>
          </cell>
          <cell r="B962">
            <v>40565</v>
          </cell>
          <cell r="D962">
            <v>182.5</v>
          </cell>
          <cell r="E962" t="str">
            <v>Materia Prima</v>
          </cell>
        </row>
        <row r="963">
          <cell r="A963">
            <v>1000017426</v>
          </cell>
          <cell r="B963">
            <v>40565</v>
          </cell>
          <cell r="D963">
            <v>211</v>
          </cell>
          <cell r="E963" t="str">
            <v>Materia Prima</v>
          </cell>
        </row>
        <row r="964">
          <cell r="A964">
            <v>1000017426</v>
          </cell>
          <cell r="B964">
            <v>40565</v>
          </cell>
          <cell r="D964">
            <v>40.4</v>
          </cell>
          <cell r="E964" t="str">
            <v>Materia Prima</v>
          </cell>
        </row>
        <row r="965">
          <cell r="A965">
            <v>1000017426</v>
          </cell>
          <cell r="B965">
            <v>40565</v>
          </cell>
          <cell r="D965">
            <v>151.9</v>
          </cell>
          <cell r="E965" t="str">
            <v>Materia Prima</v>
          </cell>
        </row>
        <row r="966">
          <cell r="A966">
            <v>1000017426</v>
          </cell>
          <cell r="B966">
            <v>40565</v>
          </cell>
          <cell r="D966">
            <v>72.52</v>
          </cell>
          <cell r="E966" t="str">
            <v>Materia Prima</v>
          </cell>
        </row>
        <row r="967">
          <cell r="A967">
            <v>1000017427</v>
          </cell>
          <cell r="B967">
            <v>40565</v>
          </cell>
          <cell r="D967">
            <v>21.4</v>
          </cell>
          <cell r="E967" t="str">
            <v>Materia Prima</v>
          </cell>
        </row>
        <row r="968">
          <cell r="A968">
            <v>1000017427</v>
          </cell>
          <cell r="B968">
            <v>40565</v>
          </cell>
          <cell r="D968">
            <v>42.1</v>
          </cell>
          <cell r="E968" t="str">
            <v>Materia Prima</v>
          </cell>
        </row>
        <row r="969">
          <cell r="A969">
            <v>1000017427</v>
          </cell>
          <cell r="B969">
            <v>40565</v>
          </cell>
          <cell r="D969">
            <v>19.399999999999999</v>
          </cell>
          <cell r="E969" t="str">
            <v>Materia Prima</v>
          </cell>
        </row>
        <row r="970">
          <cell r="A970">
            <v>1000017427</v>
          </cell>
          <cell r="B970">
            <v>40565</v>
          </cell>
          <cell r="D970">
            <v>3.6</v>
          </cell>
          <cell r="E970" t="str">
            <v>Materia Prima</v>
          </cell>
        </row>
        <row r="971">
          <cell r="A971">
            <v>1000017427</v>
          </cell>
          <cell r="B971">
            <v>40565</v>
          </cell>
          <cell r="D971">
            <v>7.3</v>
          </cell>
          <cell r="E971" t="str">
            <v>Materia Prima</v>
          </cell>
        </row>
        <row r="972">
          <cell r="A972">
            <v>1000017427</v>
          </cell>
          <cell r="B972">
            <v>40565</v>
          </cell>
          <cell r="D972">
            <v>17.600000000000001</v>
          </cell>
          <cell r="E972" t="str">
            <v>Materia Prima</v>
          </cell>
        </row>
        <row r="973">
          <cell r="A973">
            <v>1000017428</v>
          </cell>
          <cell r="B973">
            <v>40565</v>
          </cell>
          <cell r="D973">
            <v>71.06</v>
          </cell>
          <cell r="E973" t="str">
            <v>Mallas</v>
          </cell>
        </row>
        <row r="974">
          <cell r="A974">
            <v>1000017439</v>
          </cell>
          <cell r="B974">
            <v>40566</v>
          </cell>
          <cell r="D974">
            <v>2016</v>
          </cell>
          <cell r="E974" t="str">
            <v>Materia Prima</v>
          </cell>
        </row>
        <row r="975">
          <cell r="A975">
            <v>1000017439</v>
          </cell>
          <cell r="B975">
            <v>40566</v>
          </cell>
          <cell r="D975">
            <v>280.8</v>
          </cell>
          <cell r="E975" t="str">
            <v>Materia Prima</v>
          </cell>
        </row>
        <row r="976">
          <cell r="A976">
            <v>1000017439</v>
          </cell>
          <cell r="B976">
            <v>40566</v>
          </cell>
          <cell r="D976">
            <v>729</v>
          </cell>
          <cell r="E976" t="str">
            <v>Materia Prima</v>
          </cell>
        </row>
        <row r="977">
          <cell r="A977">
            <v>1000017439</v>
          </cell>
          <cell r="B977">
            <v>40566</v>
          </cell>
          <cell r="D977">
            <v>293.8</v>
          </cell>
          <cell r="E977" t="str">
            <v>Materia Prima</v>
          </cell>
        </row>
        <row r="978">
          <cell r="A978">
            <v>1000017439</v>
          </cell>
          <cell r="B978">
            <v>40566</v>
          </cell>
          <cell r="D978">
            <v>240</v>
          </cell>
          <cell r="E978" t="str">
            <v>Materia Prima</v>
          </cell>
        </row>
        <row r="979">
          <cell r="A979">
            <v>1000017439</v>
          </cell>
          <cell r="B979">
            <v>40566</v>
          </cell>
          <cell r="D979">
            <v>8832.4</v>
          </cell>
          <cell r="E979" t="str">
            <v>Figurado</v>
          </cell>
        </row>
        <row r="980">
          <cell r="A980">
            <v>1000017439</v>
          </cell>
          <cell r="B980">
            <v>40566</v>
          </cell>
          <cell r="D980">
            <v>10138.5</v>
          </cell>
          <cell r="E980" t="str">
            <v>Figurado</v>
          </cell>
        </row>
        <row r="981">
          <cell r="A981">
            <v>1000017452</v>
          </cell>
          <cell r="B981">
            <v>40567</v>
          </cell>
          <cell r="D981">
            <v>3450</v>
          </cell>
          <cell r="E981" t="str">
            <v>Mallas</v>
          </cell>
        </row>
        <row r="982">
          <cell r="A982">
            <v>1000017453</v>
          </cell>
          <cell r="B982">
            <v>40567</v>
          </cell>
          <cell r="D982">
            <v>1729</v>
          </cell>
          <cell r="E982" t="str">
            <v>Mallas</v>
          </cell>
        </row>
        <row r="983">
          <cell r="A983">
            <v>1000017454</v>
          </cell>
          <cell r="B983">
            <v>40567</v>
          </cell>
          <cell r="D983">
            <v>1729</v>
          </cell>
          <cell r="E983" t="str">
            <v>Mallas</v>
          </cell>
        </row>
        <row r="984">
          <cell r="A984">
            <v>1000017455</v>
          </cell>
          <cell r="B984">
            <v>40567</v>
          </cell>
          <cell r="D984">
            <v>47.4</v>
          </cell>
          <cell r="E984" t="str">
            <v>Materia Prima</v>
          </cell>
        </row>
        <row r="985">
          <cell r="A985">
            <v>1000017456</v>
          </cell>
          <cell r="B985">
            <v>40567</v>
          </cell>
          <cell r="D985">
            <v>23.7</v>
          </cell>
          <cell r="E985" t="str">
            <v>Materia Prima</v>
          </cell>
        </row>
        <row r="986">
          <cell r="A986">
            <v>1000017457</v>
          </cell>
          <cell r="B986">
            <v>40567</v>
          </cell>
          <cell r="D986">
            <v>23.7</v>
          </cell>
          <cell r="E986" t="str">
            <v>Materia Prima</v>
          </cell>
        </row>
        <row r="987">
          <cell r="A987">
            <v>1000017458</v>
          </cell>
          <cell r="B987">
            <v>40567</v>
          </cell>
          <cell r="D987">
            <v>1500</v>
          </cell>
          <cell r="E987" t="str">
            <v>Materia Prima</v>
          </cell>
        </row>
        <row r="988">
          <cell r="A988">
            <v>1000017467</v>
          </cell>
          <cell r="B988">
            <v>40567</v>
          </cell>
          <cell r="D988">
            <v>8558.5499999999993</v>
          </cell>
          <cell r="E988" t="str">
            <v>Mallas</v>
          </cell>
        </row>
        <row r="989">
          <cell r="A989">
            <v>1000017467</v>
          </cell>
          <cell r="B989">
            <v>40567</v>
          </cell>
          <cell r="D989">
            <v>313.2</v>
          </cell>
          <cell r="E989" t="str">
            <v>Mallas</v>
          </cell>
        </row>
        <row r="990">
          <cell r="A990">
            <v>1000017469</v>
          </cell>
          <cell r="B990">
            <v>40567</v>
          </cell>
          <cell r="D990">
            <v>324</v>
          </cell>
          <cell r="E990" t="str">
            <v>Materia Prima</v>
          </cell>
        </row>
        <row r="991">
          <cell r="A991">
            <v>1000017470</v>
          </cell>
          <cell r="B991">
            <v>40567</v>
          </cell>
          <cell r="D991">
            <v>1809.6</v>
          </cell>
          <cell r="E991" t="str">
            <v>Mallas</v>
          </cell>
        </row>
        <row r="992">
          <cell r="A992">
            <v>1000017478</v>
          </cell>
          <cell r="B992">
            <v>40567</v>
          </cell>
          <cell r="D992">
            <v>1388.56</v>
          </cell>
          <cell r="E992" t="str">
            <v>Mallas</v>
          </cell>
        </row>
        <row r="993">
          <cell r="A993">
            <v>1000017485</v>
          </cell>
          <cell r="B993">
            <v>40567</v>
          </cell>
          <cell r="D993">
            <v>12350</v>
          </cell>
          <cell r="E993" t="str">
            <v>Mallas</v>
          </cell>
        </row>
        <row r="994">
          <cell r="A994">
            <v>1000017485</v>
          </cell>
          <cell r="B994">
            <v>40567</v>
          </cell>
          <cell r="D994">
            <v>10545</v>
          </cell>
          <cell r="E994" t="str">
            <v>Mallas</v>
          </cell>
        </row>
        <row r="995">
          <cell r="A995">
            <v>1000017490</v>
          </cell>
          <cell r="B995">
            <v>40568</v>
          </cell>
          <cell r="D995">
            <v>100</v>
          </cell>
          <cell r="E995" t="str">
            <v>Materia Prima</v>
          </cell>
        </row>
        <row r="996">
          <cell r="A996">
            <v>1000017491</v>
          </cell>
          <cell r="B996">
            <v>40568</v>
          </cell>
          <cell r="D996">
            <v>120</v>
          </cell>
          <cell r="E996" t="str">
            <v>Materia Prima</v>
          </cell>
        </row>
        <row r="997">
          <cell r="A997">
            <v>1000017492</v>
          </cell>
          <cell r="B997">
            <v>40568</v>
          </cell>
          <cell r="D997">
            <v>4446</v>
          </cell>
          <cell r="E997" t="str">
            <v>Mallas</v>
          </cell>
        </row>
        <row r="998">
          <cell r="A998">
            <v>1000017504</v>
          </cell>
          <cell r="B998">
            <v>40568</v>
          </cell>
          <cell r="D998">
            <v>1000</v>
          </cell>
          <cell r="E998" t="str">
            <v>Materia Prima</v>
          </cell>
        </row>
        <row r="999">
          <cell r="A999">
            <v>1000017511</v>
          </cell>
          <cell r="B999">
            <v>40568</v>
          </cell>
          <cell r="D999">
            <v>19869</v>
          </cell>
          <cell r="E999" t="str">
            <v>Materia Prima</v>
          </cell>
        </row>
        <row r="1000">
          <cell r="A1000">
            <v>1000017511</v>
          </cell>
          <cell r="B1000">
            <v>40568</v>
          </cell>
          <cell r="D1000">
            <v>11933</v>
          </cell>
          <cell r="E1000" t="str">
            <v>Materia Prima</v>
          </cell>
        </row>
        <row r="1001">
          <cell r="A1001">
            <v>1000017512</v>
          </cell>
          <cell r="B1001">
            <v>40568</v>
          </cell>
          <cell r="D1001">
            <v>31564</v>
          </cell>
          <cell r="E1001" t="str">
            <v>Materia Prima</v>
          </cell>
        </row>
        <row r="1002">
          <cell r="A1002">
            <v>1000017514</v>
          </cell>
          <cell r="B1002">
            <v>40568</v>
          </cell>
          <cell r="D1002">
            <v>1190.4000000000001</v>
          </cell>
          <cell r="E1002" t="str">
            <v>Figurado</v>
          </cell>
        </row>
        <row r="1003">
          <cell r="A1003">
            <v>1000017515</v>
          </cell>
          <cell r="B1003">
            <v>40568</v>
          </cell>
          <cell r="D1003">
            <v>400</v>
          </cell>
          <cell r="E1003" t="str">
            <v>Materia Prima</v>
          </cell>
        </row>
        <row r="1004">
          <cell r="A1004">
            <v>1000017516</v>
          </cell>
          <cell r="B1004">
            <v>40568</v>
          </cell>
          <cell r="D1004">
            <v>950</v>
          </cell>
          <cell r="E1004" t="str">
            <v>Materia Prima</v>
          </cell>
        </row>
        <row r="1005">
          <cell r="A1005">
            <v>1000017517</v>
          </cell>
          <cell r="B1005">
            <v>40568</v>
          </cell>
          <cell r="D1005">
            <v>600</v>
          </cell>
          <cell r="E1005" t="str">
            <v>Materia Prima</v>
          </cell>
        </row>
        <row r="1006">
          <cell r="A1006">
            <v>1000017519</v>
          </cell>
          <cell r="B1006">
            <v>40568</v>
          </cell>
          <cell r="D1006">
            <v>1975</v>
          </cell>
          <cell r="E1006" t="str">
            <v>Materia Prima</v>
          </cell>
        </row>
        <row r="1007">
          <cell r="A1007">
            <v>1000017520</v>
          </cell>
          <cell r="B1007">
            <v>40568</v>
          </cell>
          <cell r="D1007">
            <v>1012.6</v>
          </cell>
          <cell r="E1007" t="str">
            <v>Figurado</v>
          </cell>
        </row>
        <row r="1008">
          <cell r="A1008">
            <v>1000017520</v>
          </cell>
          <cell r="B1008">
            <v>40568</v>
          </cell>
          <cell r="D1008">
            <v>1041.3</v>
          </cell>
          <cell r="E1008" t="str">
            <v>Figurado</v>
          </cell>
        </row>
        <row r="1009">
          <cell r="A1009">
            <v>1000017521</v>
          </cell>
          <cell r="B1009">
            <v>40568</v>
          </cell>
          <cell r="D1009">
            <v>1040.5</v>
          </cell>
          <cell r="E1009" t="str">
            <v>Figurado</v>
          </cell>
        </row>
        <row r="1010">
          <cell r="A1010">
            <v>1000017521</v>
          </cell>
          <cell r="B1010">
            <v>40568</v>
          </cell>
          <cell r="D1010">
            <v>54.6</v>
          </cell>
          <cell r="E1010" t="str">
            <v>Figurado</v>
          </cell>
        </row>
        <row r="1011">
          <cell r="A1011">
            <v>1000017522</v>
          </cell>
          <cell r="B1011">
            <v>40568</v>
          </cell>
          <cell r="D1011">
            <v>191.5</v>
          </cell>
          <cell r="E1011" t="str">
            <v>Figurado</v>
          </cell>
        </row>
        <row r="1012">
          <cell r="A1012">
            <v>1000017522</v>
          </cell>
          <cell r="B1012">
            <v>40568</v>
          </cell>
          <cell r="D1012">
            <v>1476</v>
          </cell>
          <cell r="E1012" t="str">
            <v>Figurado</v>
          </cell>
        </row>
        <row r="1013">
          <cell r="A1013">
            <v>1000017523</v>
          </cell>
          <cell r="B1013">
            <v>40568</v>
          </cell>
          <cell r="D1013">
            <v>191.5</v>
          </cell>
          <cell r="E1013" t="str">
            <v>Figurado</v>
          </cell>
        </row>
        <row r="1014">
          <cell r="A1014">
            <v>1000017523</v>
          </cell>
          <cell r="B1014">
            <v>40568</v>
          </cell>
          <cell r="D1014">
            <v>1458</v>
          </cell>
          <cell r="E1014" t="str">
            <v>Figurado</v>
          </cell>
        </row>
        <row r="1015">
          <cell r="A1015">
            <v>1000017524</v>
          </cell>
          <cell r="B1015">
            <v>40569</v>
          </cell>
          <cell r="D1015">
            <v>450.4</v>
          </cell>
          <cell r="E1015" t="str">
            <v>Figurado</v>
          </cell>
        </row>
        <row r="1016">
          <cell r="A1016">
            <v>1000017525</v>
          </cell>
          <cell r="B1016">
            <v>40569</v>
          </cell>
          <cell r="D1016">
            <v>3024</v>
          </cell>
          <cell r="E1016" t="str">
            <v>Materia Prima</v>
          </cell>
        </row>
        <row r="1017">
          <cell r="A1017">
            <v>1000017525</v>
          </cell>
          <cell r="B1017">
            <v>40569</v>
          </cell>
          <cell r="D1017">
            <v>4200</v>
          </cell>
          <cell r="E1017" t="str">
            <v>Materia Prima</v>
          </cell>
        </row>
        <row r="1018">
          <cell r="A1018">
            <v>1000017525</v>
          </cell>
          <cell r="B1018">
            <v>40569</v>
          </cell>
          <cell r="D1018">
            <v>526</v>
          </cell>
          <cell r="E1018" t="str">
            <v>Figurado</v>
          </cell>
        </row>
        <row r="1019">
          <cell r="A1019">
            <v>1000017526</v>
          </cell>
          <cell r="B1019">
            <v>40569</v>
          </cell>
          <cell r="D1019">
            <v>255.6</v>
          </cell>
          <cell r="E1019" t="str">
            <v>Figurado</v>
          </cell>
        </row>
        <row r="1020">
          <cell r="A1020">
            <v>1000017527</v>
          </cell>
          <cell r="B1020">
            <v>40569</v>
          </cell>
          <cell r="D1020">
            <v>336</v>
          </cell>
          <cell r="E1020" t="str">
            <v>Materia Prima</v>
          </cell>
        </row>
        <row r="1021">
          <cell r="A1021">
            <v>1000017527</v>
          </cell>
          <cell r="B1021">
            <v>40569</v>
          </cell>
          <cell r="D1021">
            <v>518.6</v>
          </cell>
          <cell r="E1021" t="str">
            <v>Figurado</v>
          </cell>
        </row>
        <row r="1022">
          <cell r="A1022">
            <v>1000017527</v>
          </cell>
          <cell r="B1022">
            <v>40569</v>
          </cell>
          <cell r="D1022">
            <v>663.2</v>
          </cell>
          <cell r="E1022" t="str">
            <v>Figurado</v>
          </cell>
        </row>
        <row r="1023">
          <cell r="A1023">
            <v>1000017532</v>
          </cell>
          <cell r="B1023">
            <v>40569</v>
          </cell>
          <cell r="D1023">
            <v>154.1</v>
          </cell>
          <cell r="E1023" t="str">
            <v>Figurado</v>
          </cell>
        </row>
        <row r="1024">
          <cell r="A1024">
            <v>1000017532</v>
          </cell>
          <cell r="B1024">
            <v>40569</v>
          </cell>
          <cell r="D1024">
            <v>1050.5</v>
          </cell>
          <cell r="E1024" t="str">
            <v>Figurado</v>
          </cell>
        </row>
        <row r="1025">
          <cell r="A1025">
            <v>1000017532</v>
          </cell>
          <cell r="B1025">
            <v>40569</v>
          </cell>
          <cell r="D1025">
            <v>1200.2</v>
          </cell>
          <cell r="E1025" t="str">
            <v>Figurado</v>
          </cell>
        </row>
        <row r="1026">
          <cell r="A1026">
            <v>1000017540</v>
          </cell>
          <cell r="B1026">
            <v>40569</v>
          </cell>
          <cell r="D1026">
            <v>134.4</v>
          </cell>
          <cell r="E1026" t="str">
            <v>Materia Prima</v>
          </cell>
        </row>
        <row r="1027">
          <cell r="A1027">
            <v>1000017540</v>
          </cell>
          <cell r="B1027">
            <v>40569</v>
          </cell>
          <cell r="D1027">
            <v>1712.5</v>
          </cell>
          <cell r="E1027" t="str">
            <v>Figurado</v>
          </cell>
        </row>
        <row r="1028">
          <cell r="A1028">
            <v>1000017540</v>
          </cell>
          <cell r="B1028">
            <v>40569</v>
          </cell>
          <cell r="D1028">
            <v>4218.2</v>
          </cell>
          <cell r="E1028" t="str">
            <v>Figurado</v>
          </cell>
        </row>
        <row r="1029">
          <cell r="A1029">
            <v>1000017540</v>
          </cell>
          <cell r="B1029">
            <v>40569</v>
          </cell>
          <cell r="D1029">
            <v>89.6</v>
          </cell>
          <cell r="E1029" t="str">
            <v>Figurado</v>
          </cell>
        </row>
        <row r="1030">
          <cell r="A1030">
            <v>1000017543</v>
          </cell>
          <cell r="B1030">
            <v>40569</v>
          </cell>
          <cell r="D1030">
            <v>99.1</v>
          </cell>
          <cell r="E1030" t="str">
            <v>Figurado</v>
          </cell>
        </row>
        <row r="1031">
          <cell r="A1031">
            <v>1000017543</v>
          </cell>
          <cell r="B1031">
            <v>40569</v>
          </cell>
          <cell r="D1031">
            <v>342.9</v>
          </cell>
          <cell r="E1031" t="str">
            <v>Figurado</v>
          </cell>
        </row>
        <row r="1032">
          <cell r="A1032">
            <v>1000017545</v>
          </cell>
          <cell r="B1032">
            <v>40569</v>
          </cell>
          <cell r="D1032">
            <v>1027.3</v>
          </cell>
          <cell r="E1032" t="str">
            <v>Figurado</v>
          </cell>
        </row>
        <row r="1033">
          <cell r="A1033">
            <v>1000017545</v>
          </cell>
          <cell r="B1033">
            <v>40569</v>
          </cell>
          <cell r="D1033">
            <v>353.5</v>
          </cell>
          <cell r="E1033" t="str">
            <v>Figurado</v>
          </cell>
        </row>
        <row r="1034">
          <cell r="A1034">
            <v>1000017549</v>
          </cell>
          <cell r="B1034">
            <v>40569</v>
          </cell>
          <cell r="D1034">
            <v>436.8</v>
          </cell>
          <cell r="E1034" t="str">
            <v>Materia Prima</v>
          </cell>
        </row>
        <row r="1035">
          <cell r="A1035">
            <v>1000017549</v>
          </cell>
          <cell r="B1035">
            <v>40569</v>
          </cell>
          <cell r="D1035">
            <v>149.80000000000001</v>
          </cell>
          <cell r="E1035" t="str">
            <v>Materia Prima</v>
          </cell>
        </row>
        <row r="1036">
          <cell r="A1036">
            <v>1000017549</v>
          </cell>
          <cell r="B1036">
            <v>40569</v>
          </cell>
          <cell r="D1036">
            <v>10747.2</v>
          </cell>
          <cell r="E1036" t="str">
            <v>Figurado</v>
          </cell>
        </row>
        <row r="1037">
          <cell r="A1037">
            <v>1000017553</v>
          </cell>
          <cell r="B1037">
            <v>40569</v>
          </cell>
          <cell r="D1037">
            <v>1102.3</v>
          </cell>
          <cell r="E1037" t="str">
            <v>Figurado</v>
          </cell>
        </row>
        <row r="1038">
          <cell r="A1038">
            <v>1000017554</v>
          </cell>
          <cell r="B1038">
            <v>40569</v>
          </cell>
          <cell r="D1038">
            <v>1136.4000000000001</v>
          </cell>
          <cell r="E1038" t="str">
            <v>Figurado</v>
          </cell>
        </row>
        <row r="1039">
          <cell r="A1039">
            <v>1000017555</v>
          </cell>
          <cell r="B1039">
            <v>40569</v>
          </cell>
          <cell r="D1039">
            <v>887</v>
          </cell>
          <cell r="E1039" t="str">
            <v>Figurado</v>
          </cell>
        </row>
        <row r="1040">
          <cell r="A1040">
            <v>1000017556</v>
          </cell>
          <cell r="B1040">
            <v>40569</v>
          </cell>
          <cell r="D1040">
            <v>1536</v>
          </cell>
          <cell r="E1040" t="str">
            <v>Materia Prima</v>
          </cell>
        </row>
        <row r="1041">
          <cell r="A1041">
            <v>1000017556</v>
          </cell>
          <cell r="B1041">
            <v>40569</v>
          </cell>
          <cell r="D1041">
            <v>9873.9</v>
          </cell>
          <cell r="E1041" t="str">
            <v>Figurado</v>
          </cell>
        </row>
        <row r="1042">
          <cell r="A1042">
            <v>1000017557</v>
          </cell>
          <cell r="B1042">
            <v>40569</v>
          </cell>
          <cell r="D1042">
            <v>675</v>
          </cell>
          <cell r="E1042" t="str">
            <v>Materia Prima</v>
          </cell>
        </row>
        <row r="1043">
          <cell r="A1043">
            <v>1000017557</v>
          </cell>
          <cell r="B1043">
            <v>40569</v>
          </cell>
          <cell r="D1043">
            <v>10189.4</v>
          </cell>
          <cell r="E1043" t="str">
            <v>Figurado</v>
          </cell>
        </row>
        <row r="1044">
          <cell r="A1044">
            <v>1000017583</v>
          </cell>
          <cell r="B1044">
            <v>40570</v>
          </cell>
          <cell r="D1044">
            <v>10391.799999999999</v>
          </cell>
          <cell r="E1044" t="str">
            <v>Figurado</v>
          </cell>
        </row>
        <row r="1045">
          <cell r="A1045">
            <v>1000017584</v>
          </cell>
          <cell r="B1045">
            <v>40570</v>
          </cell>
          <cell r="D1045">
            <v>405</v>
          </cell>
          <cell r="E1045" t="str">
            <v>Figurado</v>
          </cell>
        </row>
        <row r="1046">
          <cell r="A1046">
            <v>1000017585</v>
          </cell>
          <cell r="B1046">
            <v>40570</v>
          </cell>
          <cell r="D1046">
            <v>357.1</v>
          </cell>
          <cell r="E1046" t="str">
            <v>Figurado</v>
          </cell>
        </row>
        <row r="1047">
          <cell r="A1047">
            <v>1000017585</v>
          </cell>
          <cell r="B1047">
            <v>40570</v>
          </cell>
          <cell r="D1047">
            <v>2709.8</v>
          </cell>
          <cell r="E1047" t="str">
            <v>Figurado</v>
          </cell>
        </row>
        <row r="1048">
          <cell r="A1048">
            <v>1000017586</v>
          </cell>
          <cell r="B1048">
            <v>40570</v>
          </cell>
          <cell r="D1048">
            <v>122</v>
          </cell>
          <cell r="E1048" t="str">
            <v>Figurado</v>
          </cell>
        </row>
        <row r="1049">
          <cell r="A1049">
            <v>1000017587</v>
          </cell>
          <cell r="B1049">
            <v>40570</v>
          </cell>
          <cell r="D1049">
            <v>1188</v>
          </cell>
          <cell r="E1049" t="str">
            <v>Materia Prima</v>
          </cell>
        </row>
        <row r="1050">
          <cell r="A1050">
            <v>1000017588</v>
          </cell>
          <cell r="B1050">
            <v>40570</v>
          </cell>
          <cell r="D1050">
            <v>56.2</v>
          </cell>
          <cell r="E1050" t="str">
            <v>Materia Prima</v>
          </cell>
        </row>
        <row r="1051">
          <cell r="A1051">
            <v>1000017596</v>
          </cell>
          <cell r="B1051">
            <v>40570</v>
          </cell>
          <cell r="D1051">
            <v>3442.9</v>
          </cell>
          <cell r="E1051" t="str">
            <v>Figurado</v>
          </cell>
        </row>
        <row r="1052">
          <cell r="A1052">
            <v>1000017596</v>
          </cell>
          <cell r="B1052">
            <v>40570</v>
          </cell>
          <cell r="D1052">
            <v>2726.1</v>
          </cell>
          <cell r="E1052" t="str">
            <v>Figurado</v>
          </cell>
        </row>
        <row r="1053">
          <cell r="A1053">
            <v>1000017596</v>
          </cell>
          <cell r="B1053">
            <v>40570</v>
          </cell>
          <cell r="D1053">
            <v>1952</v>
          </cell>
          <cell r="E1053" t="str">
            <v>Figurado</v>
          </cell>
        </row>
        <row r="1054">
          <cell r="A1054">
            <v>1000017596</v>
          </cell>
          <cell r="B1054">
            <v>40570</v>
          </cell>
          <cell r="D1054">
            <v>504</v>
          </cell>
          <cell r="E1054" t="str">
            <v>Figurado</v>
          </cell>
        </row>
        <row r="1055">
          <cell r="A1055">
            <v>1000017598</v>
          </cell>
          <cell r="B1055">
            <v>40570</v>
          </cell>
          <cell r="D1055">
            <v>188.8</v>
          </cell>
          <cell r="E1055" t="str">
            <v>Figurado</v>
          </cell>
        </row>
        <row r="1056">
          <cell r="A1056">
            <v>1000017598</v>
          </cell>
          <cell r="B1056">
            <v>40570</v>
          </cell>
          <cell r="D1056">
            <v>593.6</v>
          </cell>
          <cell r="E1056" t="str">
            <v>Figurado</v>
          </cell>
        </row>
        <row r="1057">
          <cell r="A1057">
            <v>1000017624</v>
          </cell>
          <cell r="B1057">
            <v>40570</v>
          </cell>
          <cell r="D1057">
            <v>719.9</v>
          </cell>
          <cell r="E1057" t="str">
            <v>Figurado</v>
          </cell>
        </row>
        <row r="1058">
          <cell r="A1058">
            <v>1000017625</v>
          </cell>
          <cell r="B1058">
            <v>40571</v>
          </cell>
          <cell r="D1058">
            <v>33846</v>
          </cell>
          <cell r="E1058" t="str">
            <v>Materia Prima</v>
          </cell>
        </row>
        <row r="1059">
          <cell r="A1059">
            <v>1000017635</v>
          </cell>
          <cell r="B1059">
            <v>40571</v>
          </cell>
          <cell r="D1059">
            <v>35610</v>
          </cell>
          <cell r="E1059" t="str">
            <v>Materia Prima</v>
          </cell>
        </row>
        <row r="1060">
          <cell r="A1060">
            <v>1000017570</v>
          </cell>
          <cell r="B1060">
            <v>40569</v>
          </cell>
          <cell r="D1060">
            <v>12350</v>
          </cell>
          <cell r="E1060" t="str">
            <v>Mallas</v>
          </cell>
        </row>
        <row r="1061">
          <cell r="A1061">
            <v>1000017570</v>
          </cell>
          <cell r="B1061">
            <v>40569</v>
          </cell>
          <cell r="D1061">
            <v>10545</v>
          </cell>
          <cell r="E1061" t="str">
            <v>Mallas</v>
          </cell>
        </row>
        <row r="1062">
          <cell r="A1062">
            <v>1000017466</v>
          </cell>
          <cell r="B1062">
            <v>40567</v>
          </cell>
          <cell r="D1062">
            <v>9710.9</v>
          </cell>
          <cell r="E1062" t="str">
            <v>Figurado</v>
          </cell>
        </row>
        <row r="1063">
          <cell r="A1063">
            <v>1000017466</v>
          </cell>
          <cell r="B1063">
            <v>40567</v>
          </cell>
          <cell r="D1063">
            <v>80</v>
          </cell>
          <cell r="E1063" t="str">
            <v>Figurado</v>
          </cell>
        </row>
        <row r="1064">
          <cell r="A1064">
            <v>1000017472</v>
          </cell>
          <cell r="B1064">
            <v>40567</v>
          </cell>
          <cell r="D1064">
            <v>307</v>
          </cell>
          <cell r="E1064" t="str">
            <v>Materia Prima</v>
          </cell>
        </row>
        <row r="1065">
          <cell r="A1065">
            <v>1000017475</v>
          </cell>
          <cell r="B1065">
            <v>40567</v>
          </cell>
          <cell r="D1065">
            <v>296</v>
          </cell>
          <cell r="E1065" t="str">
            <v>Materia Prima</v>
          </cell>
        </row>
        <row r="1066">
          <cell r="A1066">
            <v>1000017476</v>
          </cell>
          <cell r="B1066">
            <v>40567</v>
          </cell>
          <cell r="D1066">
            <v>2074.8000000000002</v>
          </cell>
          <cell r="E1066" t="str">
            <v>Mallas</v>
          </cell>
        </row>
        <row r="1067">
          <cell r="A1067">
            <v>1000017476</v>
          </cell>
          <cell r="B1067">
            <v>40567</v>
          </cell>
          <cell r="D1067">
            <v>122.2</v>
          </cell>
          <cell r="E1067" t="str">
            <v>Materia Prima</v>
          </cell>
        </row>
        <row r="1068">
          <cell r="A1068">
            <v>1000017477</v>
          </cell>
          <cell r="B1068">
            <v>40567</v>
          </cell>
          <cell r="D1068">
            <v>2074.8000000000002</v>
          </cell>
          <cell r="E1068" t="str">
            <v>Mallas</v>
          </cell>
        </row>
        <row r="1069">
          <cell r="A1069">
            <v>1000017477</v>
          </cell>
          <cell r="B1069">
            <v>40567</v>
          </cell>
          <cell r="D1069">
            <v>122.2</v>
          </cell>
          <cell r="E1069" t="str">
            <v>Materia Prima</v>
          </cell>
        </row>
        <row r="1070">
          <cell r="A1070">
            <v>1000017483</v>
          </cell>
          <cell r="B1070">
            <v>40567</v>
          </cell>
          <cell r="D1070">
            <v>5279.1</v>
          </cell>
          <cell r="E1070" t="str">
            <v>Figurado</v>
          </cell>
        </row>
        <row r="1071">
          <cell r="A1071">
            <v>1000017483</v>
          </cell>
          <cell r="B1071">
            <v>40567</v>
          </cell>
          <cell r="D1071">
            <v>4285.3999999999996</v>
          </cell>
          <cell r="E1071" t="str">
            <v>Figurado</v>
          </cell>
        </row>
        <row r="1072">
          <cell r="A1072">
            <v>1000017488</v>
          </cell>
          <cell r="B1072">
            <v>40568</v>
          </cell>
          <cell r="D1072">
            <v>108</v>
          </cell>
          <cell r="E1072" t="str">
            <v>Materia Prima</v>
          </cell>
        </row>
        <row r="1073">
          <cell r="A1073">
            <v>1000017488</v>
          </cell>
          <cell r="B1073">
            <v>40568</v>
          </cell>
          <cell r="D1073">
            <v>478.5</v>
          </cell>
          <cell r="E1073" t="str">
            <v>Figurado</v>
          </cell>
        </row>
        <row r="1074">
          <cell r="A1074">
            <v>1000017518</v>
          </cell>
          <cell r="B1074">
            <v>40568</v>
          </cell>
          <cell r="D1074">
            <v>314.5</v>
          </cell>
          <cell r="E1074" t="str">
            <v>Figurado</v>
          </cell>
        </row>
        <row r="1075">
          <cell r="A1075">
            <v>1000017528</v>
          </cell>
          <cell r="B1075">
            <v>40569</v>
          </cell>
          <cell r="D1075">
            <v>649.05999999999995</v>
          </cell>
          <cell r="E1075" t="str">
            <v>Mallas</v>
          </cell>
        </row>
        <row r="1076">
          <cell r="A1076">
            <v>1000017528</v>
          </cell>
          <cell r="B1076">
            <v>40569</v>
          </cell>
          <cell r="D1076">
            <v>1092.5</v>
          </cell>
          <cell r="E1076" t="str">
            <v>Mallas</v>
          </cell>
        </row>
        <row r="1077">
          <cell r="A1077">
            <v>1000017528</v>
          </cell>
          <cell r="B1077">
            <v>40569</v>
          </cell>
          <cell r="D1077">
            <v>1778.4</v>
          </cell>
          <cell r="E1077" t="str">
            <v>Mallas</v>
          </cell>
        </row>
        <row r="1078">
          <cell r="A1078">
            <v>1000017529</v>
          </cell>
          <cell r="B1078">
            <v>40569</v>
          </cell>
          <cell r="D1078">
            <v>1160.52</v>
          </cell>
          <cell r="E1078" t="str">
            <v>Mallas</v>
          </cell>
        </row>
        <row r="1079">
          <cell r="A1079">
            <v>1000017531</v>
          </cell>
          <cell r="B1079">
            <v>40569</v>
          </cell>
          <cell r="D1079">
            <v>359.04</v>
          </cell>
          <cell r="E1079" t="str">
            <v>Mallas</v>
          </cell>
        </row>
        <row r="1080">
          <cell r="A1080">
            <v>1000017533</v>
          </cell>
          <cell r="B1080">
            <v>40569</v>
          </cell>
          <cell r="D1080">
            <v>201.6</v>
          </cell>
          <cell r="E1080" t="str">
            <v>Figurado</v>
          </cell>
        </row>
        <row r="1081">
          <cell r="A1081">
            <v>1000017533</v>
          </cell>
          <cell r="B1081">
            <v>40569</v>
          </cell>
          <cell r="D1081">
            <v>294.2</v>
          </cell>
          <cell r="E1081" t="str">
            <v>Figurado</v>
          </cell>
        </row>
        <row r="1082">
          <cell r="A1082">
            <v>1000017533</v>
          </cell>
          <cell r="B1082">
            <v>40569</v>
          </cell>
          <cell r="D1082">
            <v>1048.3</v>
          </cell>
          <cell r="E1082" t="str">
            <v>Figurado</v>
          </cell>
        </row>
        <row r="1083">
          <cell r="A1083">
            <v>1000017534</v>
          </cell>
          <cell r="B1083">
            <v>40569</v>
          </cell>
          <cell r="D1083">
            <v>841</v>
          </cell>
          <cell r="E1083" t="str">
            <v>Figurado</v>
          </cell>
        </row>
        <row r="1084">
          <cell r="A1084">
            <v>1000017534</v>
          </cell>
          <cell r="B1084">
            <v>40569</v>
          </cell>
          <cell r="D1084">
            <v>258.8</v>
          </cell>
          <cell r="E1084" t="str">
            <v>Figurado</v>
          </cell>
        </row>
        <row r="1085">
          <cell r="A1085">
            <v>1000017535</v>
          </cell>
          <cell r="B1085">
            <v>40569</v>
          </cell>
          <cell r="D1085">
            <v>6285</v>
          </cell>
          <cell r="E1085" t="str">
            <v>Mallas</v>
          </cell>
        </row>
        <row r="1086">
          <cell r="A1086">
            <v>1000017539</v>
          </cell>
          <cell r="B1086">
            <v>40569</v>
          </cell>
          <cell r="D1086">
            <v>1128.5999999999999</v>
          </cell>
          <cell r="E1086" t="str">
            <v>Mallas</v>
          </cell>
        </row>
        <row r="1087">
          <cell r="A1087">
            <v>1000017541</v>
          </cell>
          <cell r="B1087">
            <v>40569</v>
          </cell>
          <cell r="D1087">
            <v>1128.5999999999999</v>
          </cell>
          <cell r="E1087" t="str">
            <v>Mallas</v>
          </cell>
        </row>
        <row r="1088">
          <cell r="A1088">
            <v>1000017542</v>
          </cell>
          <cell r="B1088">
            <v>40569</v>
          </cell>
          <cell r="D1088">
            <v>359</v>
          </cell>
          <cell r="E1088" t="str">
            <v>Figurado</v>
          </cell>
        </row>
        <row r="1089">
          <cell r="A1089">
            <v>1000017542</v>
          </cell>
          <cell r="B1089">
            <v>40569</v>
          </cell>
          <cell r="D1089">
            <v>146</v>
          </cell>
          <cell r="E1089" t="str">
            <v>Figurado</v>
          </cell>
        </row>
        <row r="1090">
          <cell r="A1090">
            <v>1000017542</v>
          </cell>
          <cell r="B1090">
            <v>40569</v>
          </cell>
          <cell r="D1090">
            <v>413.1</v>
          </cell>
          <cell r="E1090" t="str">
            <v>Figurado</v>
          </cell>
        </row>
        <row r="1091">
          <cell r="A1091">
            <v>1000017542</v>
          </cell>
          <cell r="B1091">
            <v>40569</v>
          </cell>
          <cell r="D1091">
            <v>268.8</v>
          </cell>
          <cell r="E1091" t="str">
            <v>Figurado</v>
          </cell>
        </row>
        <row r="1092">
          <cell r="A1092">
            <v>1000017544</v>
          </cell>
          <cell r="B1092">
            <v>40569</v>
          </cell>
          <cell r="D1092">
            <v>1128.5999999999999</v>
          </cell>
          <cell r="E1092" t="str">
            <v>Mallas</v>
          </cell>
        </row>
        <row r="1093">
          <cell r="A1093">
            <v>1000017546</v>
          </cell>
          <cell r="B1093">
            <v>40569</v>
          </cell>
          <cell r="D1093">
            <v>600</v>
          </cell>
          <cell r="E1093" t="str">
            <v>Materia Prima</v>
          </cell>
        </row>
        <row r="1094">
          <cell r="A1094">
            <v>1000017546</v>
          </cell>
          <cell r="B1094">
            <v>40569</v>
          </cell>
          <cell r="D1094">
            <v>936</v>
          </cell>
          <cell r="E1094" t="str">
            <v>Materia Prima</v>
          </cell>
        </row>
        <row r="1095">
          <cell r="A1095">
            <v>1000017547</v>
          </cell>
          <cell r="B1095">
            <v>40569</v>
          </cell>
          <cell r="D1095">
            <v>336</v>
          </cell>
          <cell r="E1095" t="str">
            <v>Materia Prima</v>
          </cell>
        </row>
        <row r="1096">
          <cell r="A1096">
            <v>1000017547</v>
          </cell>
          <cell r="B1096">
            <v>40569</v>
          </cell>
          <cell r="D1096">
            <v>4704.6000000000004</v>
          </cell>
          <cell r="E1096" t="str">
            <v>Figurado</v>
          </cell>
        </row>
        <row r="1097">
          <cell r="A1097">
            <v>1000017548</v>
          </cell>
          <cell r="B1097">
            <v>40569</v>
          </cell>
          <cell r="D1097">
            <v>1644.2</v>
          </cell>
          <cell r="E1097" t="str">
            <v>Figurado</v>
          </cell>
        </row>
        <row r="1098">
          <cell r="A1098">
            <v>1000017548</v>
          </cell>
          <cell r="B1098">
            <v>40569</v>
          </cell>
          <cell r="D1098">
            <v>460.8</v>
          </cell>
          <cell r="E1098" t="str">
            <v>Figurado</v>
          </cell>
        </row>
        <row r="1099">
          <cell r="A1099">
            <v>1000017550</v>
          </cell>
          <cell r="B1099">
            <v>40569</v>
          </cell>
          <cell r="D1099">
            <v>459</v>
          </cell>
          <cell r="E1099" t="str">
            <v>Figurado</v>
          </cell>
        </row>
        <row r="1100">
          <cell r="A1100">
            <v>1000017550</v>
          </cell>
          <cell r="B1100">
            <v>40569</v>
          </cell>
          <cell r="D1100">
            <v>452.4</v>
          </cell>
          <cell r="E1100" t="str">
            <v>Figurado</v>
          </cell>
        </row>
        <row r="1101">
          <cell r="A1101">
            <v>1000017550</v>
          </cell>
          <cell r="B1101">
            <v>40569</v>
          </cell>
          <cell r="D1101">
            <v>486</v>
          </cell>
          <cell r="E1101" t="str">
            <v>Figurado</v>
          </cell>
        </row>
        <row r="1102">
          <cell r="A1102">
            <v>1000017551</v>
          </cell>
          <cell r="B1102">
            <v>40569</v>
          </cell>
          <cell r="D1102">
            <v>416.4</v>
          </cell>
          <cell r="E1102" t="str">
            <v>Figurado</v>
          </cell>
        </row>
        <row r="1103">
          <cell r="A1103">
            <v>1000017551</v>
          </cell>
          <cell r="B1103">
            <v>40569</v>
          </cell>
          <cell r="D1103">
            <v>188.6</v>
          </cell>
          <cell r="E1103" t="str">
            <v>Figurado</v>
          </cell>
        </row>
        <row r="1104">
          <cell r="A1104">
            <v>1000017551</v>
          </cell>
          <cell r="B1104">
            <v>40569</v>
          </cell>
          <cell r="D1104">
            <v>372.7</v>
          </cell>
          <cell r="E1104" t="str">
            <v>Figurado</v>
          </cell>
        </row>
        <row r="1105">
          <cell r="A1105">
            <v>1000017551</v>
          </cell>
          <cell r="B1105">
            <v>40569</v>
          </cell>
          <cell r="D1105">
            <v>71.099999999999994</v>
          </cell>
          <cell r="E1105" t="str">
            <v>Figurado</v>
          </cell>
        </row>
        <row r="1106">
          <cell r="A1106">
            <v>1000017551</v>
          </cell>
          <cell r="B1106">
            <v>40569</v>
          </cell>
          <cell r="D1106">
            <v>71.599999999999994</v>
          </cell>
          <cell r="E1106" t="str">
            <v>Figurado</v>
          </cell>
        </row>
        <row r="1107">
          <cell r="A1107">
            <v>1000017551</v>
          </cell>
          <cell r="B1107">
            <v>40569</v>
          </cell>
          <cell r="D1107">
            <v>89.6</v>
          </cell>
          <cell r="E1107" t="str">
            <v>Figurado</v>
          </cell>
        </row>
        <row r="1108">
          <cell r="A1108">
            <v>1000017558</v>
          </cell>
          <cell r="B1108">
            <v>40569</v>
          </cell>
          <cell r="D1108">
            <v>2812.5</v>
          </cell>
          <cell r="E1108" t="str">
            <v>Figurado</v>
          </cell>
        </row>
        <row r="1109">
          <cell r="A1109">
            <v>1000017559</v>
          </cell>
          <cell r="B1109">
            <v>40569</v>
          </cell>
          <cell r="D1109">
            <v>994.8</v>
          </cell>
          <cell r="E1109" t="str">
            <v>Figurado</v>
          </cell>
        </row>
        <row r="1110">
          <cell r="A1110">
            <v>1000017560</v>
          </cell>
          <cell r="B1110">
            <v>40569</v>
          </cell>
          <cell r="D1110">
            <v>892.1</v>
          </cell>
          <cell r="E1110" t="str">
            <v>Figurado</v>
          </cell>
        </row>
        <row r="1111">
          <cell r="A1111">
            <v>1000017561</v>
          </cell>
          <cell r="B1111">
            <v>40569</v>
          </cell>
          <cell r="D1111">
            <v>892.1</v>
          </cell>
          <cell r="E1111" t="str">
            <v>Figurado</v>
          </cell>
        </row>
        <row r="1112">
          <cell r="A1112">
            <v>1000017562</v>
          </cell>
          <cell r="B1112">
            <v>40569</v>
          </cell>
          <cell r="D1112">
            <v>2812</v>
          </cell>
          <cell r="E1112" t="str">
            <v>Figurado</v>
          </cell>
        </row>
        <row r="1113">
          <cell r="A1113">
            <v>1000017563</v>
          </cell>
          <cell r="B1113">
            <v>40569</v>
          </cell>
          <cell r="D1113">
            <v>1344</v>
          </cell>
          <cell r="E1113" t="str">
            <v>Materia Prima</v>
          </cell>
        </row>
        <row r="1114">
          <cell r="A1114">
            <v>1000017566</v>
          </cell>
          <cell r="B1114">
            <v>40569</v>
          </cell>
          <cell r="D1114">
            <v>690</v>
          </cell>
          <cell r="E1114" t="str">
            <v>Mallas</v>
          </cell>
        </row>
        <row r="1115">
          <cell r="A1115">
            <v>1000017567</v>
          </cell>
          <cell r="B1115">
            <v>40569</v>
          </cell>
          <cell r="D1115">
            <v>690</v>
          </cell>
          <cell r="E1115" t="str">
            <v>Mallas</v>
          </cell>
        </row>
        <row r="1116">
          <cell r="A1116">
            <v>1000017568</v>
          </cell>
          <cell r="B1116">
            <v>40569</v>
          </cell>
          <cell r="D1116">
            <v>690</v>
          </cell>
          <cell r="E1116" t="str">
            <v>Mallas</v>
          </cell>
        </row>
        <row r="1117">
          <cell r="A1117">
            <v>1000017578</v>
          </cell>
          <cell r="B1117">
            <v>40570</v>
          </cell>
          <cell r="D1117">
            <v>4079.9</v>
          </cell>
          <cell r="E1117" t="str">
            <v>Figurado</v>
          </cell>
        </row>
        <row r="1118">
          <cell r="A1118">
            <v>1000017579</v>
          </cell>
          <cell r="B1118">
            <v>40570</v>
          </cell>
          <cell r="D1118">
            <v>998.5</v>
          </cell>
          <cell r="E1118" t="str">
            <v>Figurado</v>
          </cell>
        </row>
        <row r="1119">
          <cell r="A1119">
            <v>1000017580</v>
          </cell>
          <cell r="B1119">
            <v>40570</v>
          </cell>
          <cell r="D1119">
            <v>998.5</v>
          </cell>
          <cell r="E1119" t="str">
            <v>Figurado</v>
          </cell>
        </row>
        <row r="1120">
          <cell r="A1120">
            <v>1000017581</v>
          </cell>
          <cell r="B1120">
            <v>40570</v>
          </cell>
          <cell r="D1120">
            <v>977.6</v>
          </cell>
          <cell r="E1120" t="str">
            <v>Figurado</v>
          </cell>
        </row>
        <row r="1121">
          <cell r="A1121">
            <v>1000017581</v>
          </cell>
          <cell r="B1121">
            <v>40570</v>
          </cell>
          <cell r="D1121">
            <v>1580.1</v>
          </cell>
          <cell r="E1121" t="str">
            <v>Figurado</v>
          </cell>
        </row>
        <row r="1122">
          <cell r="A1122">
            <v>1000017582</v>
          </cell>
          <cell r="B1122">
            <v>40570</v>
          </cell>
          <cell r="D1122">
            <v>1497.4</v>
          </cell>
          <cell r="E1122" t="str">
            <v>Figurado</v>
          </cell>
        </row>
        <row r="1123">
          <cell r="A1123">
            <v>1000017582</v>
          </cell>
          <cell r="B1123">
            <v>40570</v>
          </cell>
          <cell r="D1123">
            <v>187.2</v>
          </cell>
          <cell r="E1123" t="str">
            <v>Figurado</v>
          </cell>
        </row>
        <row r="1124">
          <cell r="A1124">
            <v>1000017589</v>
          </cell>
          <cell r="B1124">
            <v>40570</v>
          </cell>
          <cell r="D1124">
            <v>500</v>
          </cell>
          <cell r="E1124" t="str">
            <v>Materia Prima</v>
          </cell>
        </row>
        <row r="1125">
          <cell r="A1125">
            <v>1000017590</v>
          </cell>
          <cell r="B1125">
            <v>40570</v>
          </cell>
          <cell r="D1125">
            <v>2023.1</v>
          </cell>
          <cell r="E1125" t="str">
            <v>Figurado</v>
          </cell>
        </row>
        <row r="1126">
          <cell r="A1126">
            <v>1000017590</v>
          </cell>
          <cell r="B1126">
            <v>40570</v>
          </cell>
          <cell r="D1126">
            <v>1250.9000000000001</v>
          </cell>
          <cell r="E1126" t="str">
            <v>Figurado</v>
          </cell>
        </row>
        <row r="1127">
          <cell r="A1127">
            <v>1000017590</v>
          </cell>
          <cell r="B1127">
            <v>40570</v>
          </cell>
          <cell r="D1127">
            <v>1064.0999999999999</v>
          </cell>
          <cell r="E1127" t="str">
            <v>Figurado</v>
          </cell>
        </row>
        <row r="1128">
          <cell r="A1128">
            <v>1000017590</v>
          </cell>
          <cell r="B1128">
            <v>40570</v>
          </cell>
          <cell r="D1128">
            <v>72.900000000000006</v>
          </cell>
          <cell r="E1128" t="str">
            <v>Figurado</v>
          </cell>
        </row>
        <row r="1129">
          <cell r="A1129">
            <v>1000017590</v>
          </cell>
          <cell r="B1129">
            <v>40570</v>
          </cell>
          <cell r="D1129">
            <v>60</v>
          </cell>
          <cell r="E1129" t="str">
            <v>Figurado</v>
          </cell>
        </row>
        <row r="1130">
          <cell r="A1130">
            <v>1000017590</v>
          </cell>
          <cell r="B1130">
            <v>40570</v>
          </cell>
          <cell r="D1130">
            <v>326.39999999999998</v>
          </cell>
          <cell r="E1130" t="str">
            <v>Figurado</v>
          </cell>
        </row>
        <row r="1131">
          <cell r="A1131">
            <v>1000017591</v>
          </cell>
          <cell r="B1131">
            <v>40570</v>
          </cell>
          <cell r="D1131">
            <v>443.5</v>
          </cell>
          <cell r="E1131" t="str">
            <v>Materia Prima</v>
          </cell>
        </row>
        <row r="1132">
          <cell r="A1132">
            <v>1000017591</v>
          </cell>
          <cell r="B1132">
            <v>40570</v>
          </cell>
          <cell r="D1132">
            <v>1080</v>
          </cell>
          <cell r="E1132" t="str">
            <v>Materia Prima</v>
          </cell>
        </row>
        <row r="1133">
          <cell r="A1133">
            <v>1000017591</v>
          </cell>
          <cell r="B1133">
            <v>40570</v>
          </cell>
          <cell r="D1133">
            <v>567</v>
          </cell>
          <cell r="E1133" t="str">
            <v>Materia Prima</v>
          </cell>
        </row>
        <row r="1134">
          <cell r="A1134">
            <v>1000017591</v>
          </cell>
          <cell r="B1134">
            <v>40570</v>
          </cell>
          <cell r="D1134">
            <v>2910.9</v>
          </cell>
          <cell r="E1134" t="str">
            <v>Figurado</v>
          </cell>
        </row>
        <row r="1135">
          <cell r="A1135">
            <v>1000017592</v>
          </cell>
          <cell r="B1135">
            <v>40570</v>
          </cell>
          <cell r="D1135">
            <v>476</v>
          </cell>
          <cell r="E1135" t="str">
            <v>Figurado</v>
          </cell>
        </row>
        <row r="1136">
          <cell r="A1136">
            <v>1000017593</v>
          </cell>
          <cell r="B1136">
            <v>40570</v>
          </cell>
          <cell r="D1136">
            <v>1419.9</v>
          </cell>
          <cell r="E1136" t="str">
            <v>Figurado</v>
          </cell>
        </row>
        <row r="1137">
          <cell r="A1137">
            <v>1000017593</v>
          </cell>
          <cell r="B1137">
            <v>40570</v>
          </cell>
          <cell r="D1137">
            <v>294.5</v>
          </cell>
          <cell r="E1137" t="str">
            <v>Figurado</v>
          </cell>
        </row>
        <row r="1138">
          <cell r="A1138">
            <v>1000017593</v>
          </cell>
          <cell r="B1138">
            <v>40570</v>
          </cell>
          <cell r="D1138">
            <v>770</v>
          </cell>
          <cell r="E1138" t="str">
            <v>Figurado</v>
          </cell>
        </row>
        <row r="1139">
          <cell r="A1139">
            <v>1000017593</v>
          </cell>
          <cell r="B1139">
            <v>40570</v>
          </cell>
          <cell r="D1139">
            <v>505.5</v>
          </cell>
          <cell r="E1139" t="str">
            <v>Figurado</v>
          </cell>
        </row>
        <row r="1140">
          <cell r="A1140">
            <v>1000017594</v>
          </cell>
          <cell r="B1140">
            <v>40570</v>
          </cell>
          <cell r="D1140">
            <v>1654.5</v>
          </cell>
          <cell r="E1140" t="str">
            <v>Figurado</v>
          </cell>
        </row>
        <row r="1141">
          <cell r="A1141">
            <v>1000017594</v>
          </cell>
          <cell r="B1141">
            <v>40570</v>
          </cell>
          <cell r="D1141">
            <v>180</v>
          </cell>
          <cell r="E1141" t="str">
            <v>Figurado</v>
          </cell>
        </row>
        <row r="1142">
          <cell r="A1142">
            <v>1000017594</v>
          </cell>
          <cell r="B1142">
            <v>40570</v>
          </cell>
          <cell r="D1142">
            <v>1390.9</v>
          </cell>
          <cell r="E1142" t="str">
            <v>Figurado</v>
          </cell>
        </row>
        <row r="1143">
          <cell r="A1143">
            <v>1000017594</v>
          </cell>
          <cell r="B1143">
            <v>40570</v>
          </cell>
          <cell r="D1143">
            <v>1701.4</v>
          </cell>
          <cell r="E1143" t="str">
            <v>Figurado</v>
          </cell>
        </row>
        <row r="1144">
          <cell r="A1144">
            <v>1000017594</v>
          </cell>
          <cell r="B1144">
            <v>40570</v>
          </cell>
          <cell r="D1144">
            <v>1695.3</v>
          </cell>
          <cell r="E1144" t="str">
            <v>Figurado</v>
          </cell>
        </row>
        <row r="1145">
          <cell r="A1145">
            <v>1000017595</v>
          </cell>
          <cell r="B1145">
            <v>40570</v>
          </cell>
          <cell r="D1145">
            <v>974</v>
          </cell>
          <cell r="E1145" t="str">
            <v>Mallas</v>
          </cell>
        </row>
        <row r="1146">
          <cell r="A1146">
            <v>1000017597</v>
          </cell>
          <cell r="B1146">
            <v>40570</v>
          </cell>
          <cell r="D1146">
            <v>336</v>
          </cell>
          <cell r="E1146" t="str">
            <v>Materia Prima</v>
          </cell>
        </row>
        <row r="1147">
          <cell r="A1147">
            <v>1000017597</v>
          </cell>
          <cell r="B1147">
            <v>40570</v>
          </cell>
          <cell r="D1147">
            <v>180</v>
          </cell>
          <cell r="E1147" t="str">
            <v>Figurado</v>
          </cell>
        </row>
        <row r="1148">
          <cell r="A1148">
            <v>1000017599</v>
          </cell>
          <cell r="B1148">
            <v>40570</v>
          </cell>
          <cell r="D1148">
            <v>9479.9</v>
          </cell>
          <cell r="E1148" t="str">
            <v>Figurado</v>
          </cell>
        </row>
        <row r="1149">
          <cell r="A1149">
            <v>1000017600</v>
          </cell>
          <cell r="B1149">
            <v>40570</v>
          </cell>
          <cell r="D1149">
            <v>3133.4</v>
          </cell>
          <cell r="E1149" t="str">
            <v>Figurado</v>
          </cell>
        </row>
        <row r="1150">
          <cell r="A1150">
            <v>1000017601</v>
          </cell>
          <cell r="B1150">
            <v>40570</v>
          </cell>
          <cell r="D1150">
            <v>4437</v>
          </cell>
          <cell r="E1150" t="str">
            <v>Figurado</v>
          </cell>
        </row>
        <row r="1151">
          <cell r="A1151">
            <v>1000017601</v>
          </cell>
          <cell r="B1151">
            <v>40570</v>
          </cell>
          <cell r="D1151">
            <v>1186.7</v>
          </cell>
          <cell r="E1151" t="str">
            <v>Figurado</v>
          </cell>
        </row>
        <row r="1152">
          <cell r="A1152">
            <v>1000017601</v>
          </cell>
          <cell r="B1152">
            <v>40570</v>
          </cell>
          <cell r="D1152">
            <v>1434.4</v>
          </cell>
          <cell r="E1152" t="str">
            <v>Figurado</v>
          </cell>
        </row>
        <row r="1153">
          <cell r="A1153">
            <v>1000017602</v>
          </cell>
          <cell r="B1153">
            <v>40570</v>
          </cell>
          <cell r="D1153">
            <v>3257.3</v>
          </cell>
          <cell r="E1153" t="str">
            <v>Figurado</v>
          </cell>
        </row>
        <row r="1154">
          <cell r="A1154">
            <v>1000017603</v>
          </cell>
          <cell r="B1154">
            <v>40570</v>
          </cell>
          <cell r="D1154">
            <v>1286.7</v>
          </cell>
          <cell r="E1154" t="str">
            <v>Figurado</v>
          </cell>
        </row>
        <row r="1155">
          <cell r="A1155">
            <v>1000017604</v>
          </cell>
          <cell r="B1155">
            <v>40570</v>
          </cell>
          <cell r="D1155">
            <v>9228.4</v>
          </cell>
          <cell r="E1155" t="str">
            <v>Figurado</v>
          </cell>
        </row>
        <row r="1156">
          <cell r="A1156">
            <v>1000017605</v>
          </cell>
          <cell r="B1156">
            <v>40570</v>
          </cell>
          <cell r="D1156">
            <v>337</v>
          </cell>
          <cell r="E1156" t="str">
            <v>Materia Prima</v>
          </cell>
        </row>
        <row r="1157">
          <cell r="A1157">
            <v>1000017605</v>
          </cell>
          <cell r="B1157">
            <v>40570</v>
          </cell>
          <cell r="D1157">
            <v>8326.1</v>
          </cell>
          <cell r="E1157" t="str">
            <v>Figurado</v>
          </cell>
        </row>
        <row r="1158">
          <cell r="A1158">
            <v>1000017605</v>
          </cell>
          <cell r="B1158">
            <v>40570</v>
          </cell>
          <cell r="D1158">
            <v>702</v>
          </cell>
          <cell r="E1158" t="str">
            <v>Figurado</v>
          </cell>
        </row>
        <row r="1159">
          <cell r="A1159">
            <v>1000017606</v>
          </cell>
          <cell r="B1159">
            <v>40570</v>
          </cell>
          <cell r="D1159">
            <v>4736</v>
          </cell>
          <cell r="E1159" t="str">
            <v>Mallas</v>
          </cell>
        </row>
        <row r="1160">
          <cell r="A1160">
            <v>1000017607</v>
          </cell>
          <cell r="B1160">
            <v>40570</v>
          </cell>
          <cell r="D1160">
            <v>1582</v>
          </cell>
          <cell r="E1160" t="str">
            <v>Mallas</v>
          </cell>
        </row>
        <row r="1161">
          <cell r="A1161">
            <v>1000017609</v>
          </cell>
          <cell r="B1161">
            <v>40570</v>
          </cell>
          <cell r="D1161">
            <v>567</v>
          </cell>
          <cell r="E1161" t="str">
            <v>Materia Prima</v>
          </cell>
        </row>
        <row r="1162">
          <cell r="A1162">
            <v>1000017609</v>
          </cell>
          <cell r="B1162">
            <v>40570</v>
          </cell>
          <cell r="D1162">
            <v>3272.8</v>
          </cell>
          <cell r="E1162" t="str">
            <v>Figurado</v>
          </cell>
        </row>
        <row r="1163">
          <cell r="A1163">
            <v>1000017610</v>
          </cell>
          <cell r="B1163">
            <v>40570</v>
          </cell>
          <cell r="D1163">
            <v>405</v>
          </cell>
          <cell r="E1163" t="str">
            <v>Materia Prima</v>
          </cell>
        </row>
        <row r="1164">
          <cell r="A1164">
            <v>1000017610</v>
          </cell>
          <cell r="B1164">
            <v>40570</v>
          </cell>
          <cell r="D1164">
            <v>2091.1999999999998</v>
          </cell>
          <cell r="E1164" t="str">
            <v>Figurado</v>
          </cell>
        </row>
        <row r="1165">
          <cell r="A1165">
            <v>1000017611</v>
          </cell>
          <cell r="B1165">
            <v>40570</v>
          </cell>
          <cell r="D1165">
            <v>837</v>
          </cell>
          <cell r="E1165" t="str">
            <v>Materia Prima</v>
          </cell>
        </row>
        <row r="1166">
          <cell r="A1166">
            <v>1000017611</v>
          </cell>
          <cell r="B1166">
            <v>40570</v>
          </cell>
          <cell r="D1166">
            <v>4168.1000000000004</v>
          </cell>
          <cell r="E1166" t="str">
            <v>Figurado</v>
          </cell>
        </row>
        <row r="1167">
          <cell r="A1167">
            <v>1000017612</v>
          </cell>
          <cell r="B1167">
            <v>40570</v>
          </cell>
          <cell r="D1167">
            <v>604.79999999999995</v>
          </cell>
          <cell r="E1167" t="str">
            <v>Materia Prima</v>
          </cell>
        </row>
        <row r="1168">
          <cell r="A1168">
            <v>1000017612</v>
          </cell>
          <cell r="B1168">
            <v>40570</v>
          </cell>
          <cell r="D1168">
            <v>600</v>
          </cell>
          <cell r="E1168" t="str">
            <v>Materia Prima</v>
          </cell>
        </row>
        <row r="1169">
          <cell r="A1169">
            <v>1000017612</v>
          </cell>
          <cell r="B1169">
            <v>40570</v>
          </cell>
          <cell r="D1169">
            <v>1497.6</v>
          </cell>
          <cell r="E1169" t="str">
            <v>Materia Prima</v>
          </cell>
        </row>
        <row r="1170">
          <cell r="A1170">
            <v>1000017612</v>
          </cell>
          <cell r="B1170">
            <v>40570</v>
          </cell>
          <cell r="D1170">
            <v>288</v>
          </cell>
          <cell r="E1170" t="str">
            <v>Materia Prima</v>
          </cell>
        </row>
        <row r="1171">
          <cell r="A1171">
            <v>1000017612</v>
          </cell>
          <cell r="B1171">
            <v>40570</v>
          </cell>
          <cell r="D1171">
            <v>2956.2</v>
          </cell>
          <cell r="E1171" t="str">
            <v>Figurado</v>
          </cell>
        </row>
        <row r="1172">
          <cell r="A1172">
            <v>1000017612</v>
          </cell>
          <cell r="B1172">
            <v>40570</v>
          </cell>
          <cell r="D1172">
            <v>1035.5</v>
          </cell>
          <cell r="E1172" t="str">
            <v>Figurado</v>
          </cell>
        </row>
        <row r="1173">
          <cell r="A1173">
            <v>1000017613</v>
          </cell>
          <cell r="B1173">
            <v>40570</v>
          </cell>
          <cell r="D1173">
            <v>53.8</v>
          </cell>
          <cell r="E1173" t="str">
            <v>Materia Prima</v>
          </cell>
        </row>
        <row r="1174">
          <cell r="A1174">
            <v>1000017613</v>
          </cell>
          <cell r="B1174">
            <v>40570</v>
          </cell>
          <cell r="D1174">
            <v>12</v>
          </cell>
          <cell r="E1174" t="str">
            <v>Materia Prima</v>
          </cell>
        </row>
        <row r="1175">
          <cell r="A1175">
            <v>1000017613</v>
          </cell>
          <cell r="B1175">
            <v>40570</v>
          </cell>
          <cell r="D1175">
            <v>18.7</v>
          </cell>
          <cell r="E1175" t="str">
            <v>Materia Prima</v>
          </cell>
        </row>
        <row r="1176">
          <cell r="A1176">
            <v>1000017613</v>
          </cell>
          <cell r="B1176">
            <v>40570</v>
          </cell>
          <cell r="D1176">
            <v>749.7</v>
          </cell>
          <cell r="E1176" t="str">
            <v>Figurado</v>
          </cell>
        </row>
        <row r="1177">
          <cell r="A1177">
            <v>1000017613</v>
          </cell>
          <cell r="B1177">
            <v>40570</v>
          </cell>
          <cell r="D1177">
            <v>71.400000000000006</v>
          </cell>
          <cell r="E1177" t="str">
            <v>Figurado</v>
          </cell>
        </row>
        <row r="1178">
          <cell r="A1178">
            <v>1000017613</v>
          </cell>
          <cell r="B1178">
            <v>40570</v>
          </cell>
          <cell r="D1178">
            <v>112</v>
          </cell>
          <cell r="E1178" t="str">
            <v>Figurado</v>
          </cell>
        </row>
        <row r="1179">
          <cell r="A1179">
            <v>1000017614</v>
          </cell>
          <cell r="B1179">
            <v>40570</v>
          </cell>
          <cell r="D1179">
            <v>638.4</v>
          </cell>
          <cell r="E1179" t="str">
            <v>Figurado</v>
          </cell>
        </row>
        <row r="1180">
          <cell r="A1180">
            <v>1000017615</v>
          </cell>
          <cell r="B1180">
            <v>40570</v>
          </cell>
          <cell r="D1180">
            <v>75.900000000000006</v>
          </cell>
          <cell r="E1180" t="str">
            <v>Figurado</v>
          </cell>
        </row>
        <row r="1181">
          <cell r="A1181">
            <v>1000017615</v>
          </cell>
          <cell r="B1181">
            <v>40570</v>
          </cell>
          <cell r="D1181">
            <v>5726.9</v>
          </cell>
          <cell r="E1181" t="str">
            <v>Figurado</v>
          </cell>
        </row>
        <row r="1182">
          <cell r="A1182">
            <v>1000017616</v>
          </cell>
          <cell r="B1182">
            <v>40570</v>
          </cell>
          <cell r="D1182">
            <v>87</v>
          </cell>
          <cell r="E1182" t="str">
            <v>Figurado</v>
          </cell>
        </row>
        <row r="1183">
          <cell r="A1183">
            <v>1000017616</v>
          </cell>
          <cell r="B1183">
            <v>40570</v>
          </cell>
          <cell r="D1183">
            <v>2257.9</v>
          </cell>
          <cell r="E1183" t="str">
            <v>Figurado</v>
          </cell>
        </row>
        <row r="1184">
          <cell r="A1184">
            <v>1000017616</v>
          </cell>
          <cell r="B1184">
            <v>40570</v>
          </cell>
          <cell r="D1184">
            <v>4562.3</v>
          </cell>
          <cell r="E1184" t="str">
            <v>Figurado</v>
          </cell>
        </row>
        <row r="1185">
          <cell r="A1185">
            <v>1000017616</v>
          </cell>
          <cell r="B1185">
            <v>40570</v>
          </cell>
          <cell r="D1185">
            <v>2477.9</v>
          </cell>
          <cell r="E1185" t="str">
            <v>Figurado</v>
          </cell>
        </row>
        <row r="1186">
          <cell r="A1186">
            <v>1000017617</v>
          </cell>
          <cell r="B1186">
            <v>40570</v>
          </cell>
          <cell r="D1186">
            <v>194.4</v>
          </cell>
          <cell r="E1186" t="str">
            <v>Figurado</v>
          </cell>
        </row>
        <row r="1187">
          <cell r="A1187">
            <v>1000017618</v>
          </cell>
          <cell r="B1187">
            <v>40570</v>
          </cell>
          <cell r="D1187">
            <v>161.30000000000001</v>
          </cell>
          <cell r="E1187" t="str">
            <v>Materia Prima</v>
          </cell>
        </row>
        <row r="1188">
          <cell r="A1188">
            <v>1000017618</v>
          </cell>
          <cell r="B1188">
            <v>40570</v>
          </cell>
          <cell r="D1188">
            <v>2832.1</v>
          </cell>
          <cell r="E1188" t="str">
            <v>Figurado</v>
          </cell>
        </row>
        <row r="1189">
          <cell r="A1189">
            <v>1000017618</v>
          </cell>
          <cell r="B1189">
            <v>40570</v>
          </cell>
          <cell r="D1189">
            <v>2170.4</v>
          </cell>
          <cell r="E1189" t="str">
            <v>Figurado</v>
          </cell>
        </row>
        <row r="1190">
          <cell r="A1190">
            <v>1000017618</v>
          </cell>
          <cell r="B1190">
            <v>40570</v>
          </cell>
          <cell r="D1190">
            <v>1675.2</v>
          </cell>
          <cell r="E1190" t="str">
            <v>Figurado</v>
          </cell>
        </row>
        <row r="1191">
          <cell r="A1191">
            <v>1000017618</v>
          </cell>
          <cell r="B1191">
            <v>40570</v>
          </cell>
          <cell r="D1191">
            <v>862.1</v>
          </cell>
          <cell r="E1191" t="str">
            <v>Figurado</v>
          </cell>
        </row>
        <row r="1192">
          <cell r="A1192">
            <v>1000017618</v>
          </cell>
          <cell r="B1192">
            <v>40570</v>
          </cell>
          <cell r="D1192">
            <v>178.4</v>
          </cell>
          <cell r="E1192" t="str">
            <v>Figurado</v>
          </cell>
        </row>
        <row r="1193">
          <cell r="A1193">
            <v>1000017618</v>
          </cell>
          <cell r="B1193">
            <v>40570</v>
          </cell>
          <cell r="D1193">
            <v>44</v>
          </cell>
          <cell r="E1193" t="str">
            <v>Figurado</v>
          </cell>
        </row>
        <row r="1194">
          <cell r="A1194">
            <v>1000017619</v>
          </cell>
          <cell r="B1194">
            <v>40570</v>
          </cell>
          <cell r="D1194">
            <v>676.6</v>
          </cell>
          <cell r="E1194" t="str">
            <v>Figurado</v>
          </cell>
        </row>
        <row r="1195">
          <cell r="A1195">
            <v>1000017619</v>
          </cell>
          <cell r="B1195">
            <v>40570</v>
          </cell>
          <cell r="D1195">
            <v>703.6</v>
          </cell>
          <cell r="E1195" t="str">
            <v>Figurado</v>
          </cell>
        </row>
        <row r="1196">
          <cell r="A1196">
            <v>1000017620</v>
          </cell>
          <cell r="B1196">
            <v>40570</v>
          </cell>
          <cell r="D1196">
            <v>706.8</v>
          </cell>
          <cell r="E1196" t="str">
            <v>Figurado</v>
          </cell>
        </row>
        <row r="1197">
          <cell r="A1197">
            <v>1000017620</v>
          </cell>
          <cell r="B1197">
            <v>40570</v>
          </cell>
          <cell r="D1197">
            <v>217</v>
          </cell>
          <cell r="E1197" t="str">
            <v>Figurado</v>
          </cell>
        </row>
        <row r="1198">
          <cell r="A1198">
            <v>1000017620</v>
          </cell>
          <cell r="B1198">
            <v>40570</v>
          </cell>
          <cell r="D1198">
            <v>44.9</v>
          </cell>
          <cell r="E1198" t="str">
            <v>Figurado</v>
          </cell>
        </row>
        <row r="1199">
          <cell r="A1199">
            <v>1000017620</v>
          </cell>
          <cell r="B1199">
            <v>40570</v>
          </cell>
          <cell r="D1199">
            <v>33.299999999999997</v>
          </cell>
          <cell r="E1199" t="str">
            <v>Figurado</v>
          </cell>
        </row>
        <row r="1200">
          <cell r="A1200">
            <v>1000017621</v>
          </cell>
          <cell r="B1200">
            <v>40570</v>
          </cell>
          <cell r="D1200">
            <v>621</v>
          </cell>
          <cell r="E1200" t="str">
            <v>Materia Prima</v>
          </cell>
        </row>
        <row r="1201">
          <cell r="A1201">
            <v>1000017621</v>
          </cell>
          <cell r="B1201">
            <v>40570</v>
          </cell>
          <cell r="D1201">
            <v>10542.4</v>
          </cell>
          <cell r="E1201" t="str">
            <v>Figurado</v>
          </cell>
        </row>
        <row r="1202">
          <cell r="A1202">
            <v>1000017623</v>
          </cell>
          <cell r="B1202">
            <v>40571</v>
          </cell>
          <cell r="D1202">
            <v>37.4</v>
          </cell>
          <cell r="E1202" t="str">
            <v>Materia Prima</v>
          </cell>
        </row>
        <row r="1203">
          <cell r="A1203">
            <v>1000017623</v>
          </cell>
          <cell r="B1203">
            <v>40571</v>
          </cell>
          <cell r="D1203">
            <v>108</v>
          </cell>
          <cell r="E1203" t="str">
            <v>Materia Prima</v>
          </cell>
        </row>
        <row r="1204">
          <cell r="A1204">
            <v>1000017623</v>
          </cell>
          <cell r="B1204">
            <v>40571</v>
          </cell>
          <cell r="D1204">
            <v>96</v>
          </cell>
          <cell r="E1204" t="str">
            <v>Materia Prima</v>
          </cell>
        </row>
        <row r="1205">
          <cell r="A1205">
            <v>1000017623</v>
          </cell>
          <cell r="B1205">
            <v>40571</v>
          </cell>
          <cell r="D1205">
            <v>2209.6999999999998</v>
          </cell>
          <cell r="E1205" t="str">
            <v>Figurado</v>
          </cell>
        </row>
        <row r="1206">
          <cell r="A1206">
            <v>1000017623</v>
          </cell>
          <cell r="B1206">
            <v>40571</v>
          </cell>
          <cell r="D1206">
            <v>3118.5</v>
          </cell>
          <cell r="E1206" t="str">
            <v>Figurado</v>
          </cell>
        </row>
        <row r="1207">
          <cell r="A1207">
            <v>1000017623</v>
          </cell>
          <cell r="B1207">
            <v>40571</v>
          </cell>
          <cell r="D1207">
            <v>2251.1</v>
          </cell>
          <cell r="E1207" t="str">
            <v>Figurado</v>
          </cell>
        </row>
        <row r="1208">
          <cell r="A1208">
            <v>1000017623</v>
          </cell>
          <cell r="B1208">
            <v>40571</v>
          </cell>
          <cell r="D1208">
            <v>598.20000000000005</v>
          </cell>
          <cell r="E1208" t="str">
            <v>Figurado</v>
          </cell>
        </row>
        <row r="1209">
          <cell r="A1209">
            <v>1000017623</v>
          </cell>
          <cell r="B1209">
            <v>40571</v>
          </cell>
          <cell r="D1209">
            <v>76</v>
          </cell>
          <cell r="E1209" t="str">
            <v>Figurado</v>
          </cell>
        </row>
        <row r="1210">
          <cell r="A1210">
            <v>1000017623</v>
          </cell>
          <cell r="B1210">
            <v>40571</v>
          </cell>
          <cell r="D1210">
            <v>2139.6</v>
          </cell>
          <cell r="E1210" t="str">
            <v>Figurado</v>
          </cell>
        </row>
        <row r="1211">
          <cell r="A1211">
            <v>1000017626</v>
          </cell>
          <cell r="B1211">
            <v>40571</v>
          </cell>
          <cell r="D1211">
            <v>5.0999999999999996</v>
          </cell>
          <cell r="E1211" t="str">
            <v>Figurado</v>
          </cell>
        </row>
        <row r="1212">
          <cell r="A1212">
            <v>1000017651</v>
          </cell>
          <cell r="B1212">
            <v>40571</v>
          </cell>
          <cell r="D1212">
            <v>305.10000000000002</v>
          </cell>
          <cell r="E1212" t="str">
            <v>Figurado</v>
          </cell>
        </row>
        <row r="1213">
          <cell r="A1213">
            <v>1000017652</v>
          </cell>
          <cell r="B1213">
            <v>40571</v>
          </cell>
          <cell r="D1213">
            <v>74.8</v>
          </cell>
          <cell r="E1213" t="str">
            <v>Figurado</v>
          </cell>
        </row>
        <row r="1214">
          <cell r="A1214">
            <v>1000017653</v>
          </cell>
          <cell r="B1214">
            <v>40571</v>
          </cell>
          <cell r="D1214">
            <v>404.5</v>
          </cell>
          <cell r="E1214" t="str">
            <v>Figurado</v>
          </cell>
        </row>
        <row r="1215">
          <cell r="A1215">
            <v>1000017654</v>
          </cell>
          <cell r="B1215">
            <v>40571</v>
          </cell>
          <cell r="D1215">
            <v>316.8</v>
          </cell>
          <cell r="E1215" t="str">
            <v>Figurado</v>
          </cell>
        </row>
        <row r="1216">
          <cell r="A1216">
            <v>1000017655</v>
          </cell>
          <cell r="B1216">
            <v>40571</v>
          </cell>
          <cell r="D1216">
            <v>112.2</v>
          </cell>
          <cell r="E1216" t="str">
            <v>Figurado</v>
          </cell>
        </row>
        <row r="1217">
          <cell r="A1217">
            <v>1000017655</v>
          </cell>
          <cell r="B1217">
            <v>40571</v>
          </cell>
          <cell r="D1217">
            <v>1895.3</v>
          </cell>
          <cell r="E1217" t="str">
            <v>Figurado</v>
          </cell>
        </row>
        <row r="1218">
          <cell r="A1218">
            <v>1000017656</v>
          </cell>
          <cell r="B1218">
            <v>40571</v>
          </cell>
          <cell r="D1218">
            <v>434.1</v>
          </cell>
          <cell r="E1218" t="str">
            <v>Figurado</v>
          </cell>
        </row>
        <row r="1219">
          <cell r="A1219">
            <v>1000017657</v>
          </cell>
          <cell r="B1219">
            <v>40571</v>
          </cell>
          <cell r="D1219">
            <v>2825.4</v>
          </cell>
          <cell r="E1219" t="str">
            <v>Figurado</v>
          </cell>
        </row>
        <row r="1220">
          <cell r="A1220">
            <v>1000017657</v>
          </cell>
          <cell r="B1220">
            <v>40571</v>
          </cell>
          <cell r="D1220">
            <v>2158.4</v>
          </cell>
          <cell r="E1220" t="str">
            <v>Figurado</v>
          </cell>
        </row>
        <row r="1221">
          <cell r="A1221">
            <v>1000017657</v>
          </cell>
          <cell r="B1221">
            <v>40571</v>
          </cell>
          <cell r="D1221">
            <v>1675.2</v>
          </cell>
          <cell r="E1221" t="str">
            <v>Figurado</v>
          </cell>
        </row>
        <row r="1222">
          <cell r="A1222">
            <v>1000017657</v>
          </cell>
          <cell r="B1222">
            <v>40571</v>
          </cell>
          <cell r="D1222">
            <v>862.1</v>
          </cell>
          <cell r="E1222" t="str">
            <v>Figurado</v>
          </cell>
        </row>
        <row r="1223">
          <cell r="A1223">
            <v>1000017657</v>
          </cell>
          <cell r="B1223">
            <v>40571</v>
          </cell>
          <cell r="D1223">
            <v>178.4</v>
          </cell>
          <cell r="E1223" t="str">
            <v>Figurado</v>
          </cell>
        </row>
        <row r="1224">
          <cell r="A1224">
            <v>1000017657</v>
          </cell>
          <cell r="B1224">
            <v>40571</v>
          </cell>
          <cell r="D1224">
            <v>44</v>
          </cell>
          <cell r="E1224" t="str">
            <v>Figurado</v>
          </cell>
        </row>
        <row r="1225">
          <cell r="A1225">
            <v>1000017681</v>
          </cell>
          <cell r="B1225">
            <v>40572</v>
          </cell>
          <cell r="D1225">
            <v>2776.2</v>
          </cell>
          <cell r="E1225" t="str">
            <v>Figurado</v>
          </cell>
        </row>
        <row r="1226">
          <cell r="A1226">
            <v>1000017682</v>
          </cell>
          <cell r="B1226">
            <v>40572</v>
          </cell>
          <cell r="D1226">
            <v>6525.8</v>
          </cell>
          <cell r="E1226" t="str">
            <v>Figurado</v>
          </cell>
        </row>
        <row r="1227">
          <cell r="A1227">
            <v>1000017536</v>
          </cell>
          <cell r="B1227">
            <v>40569</v>
          </cell>
          <cell r="D1227">
            <v>2005.9</v>
          </cell>
          <cell r="E1227" t="str">
            <v>Figurado</v>
          </cell>
        </row>
        <row r="1228">
          <cell r="A1228">
            <v>1000017537</v>
          </cell>
          <cell r="B1228">
            <v>40569</v>
          </cell>
          <cell r="D1228">
            <v>481.7</v>
          </cell>
          <cell r="E1228" t="str">
            <v>Figurado</v>
          </cell>
        </row>
        <row r="1229">
          <cell r="A1229">
            <v>1000017538</v>
          </cell>
          <cell r="B1229">
            <v>40569</v>
          </cell>
          <cell r="D1229">
            <v>286.39999999999998</v>
          </cell>
          <cell r="E1229" t="str">
            <v>Figurado</v>
          </cell>
        </row>
        <row r="1230">
          <cell r="A1230">
            <v>1000017569</v>
          </cell>
          <cell r="B1230">
            <v>40569</v>
          </cell>
          <cell r="D1230">
            <v>97.15</v>
          </cell>
          <cell r="E1230" t="str">
            <v>Mallas</v>
          </cell>
        </row>
        <row r="1231">
          <cell r="A1231">
            <v>1000017569</v>
          </cell>
          <cell r="B1231">
            <v>40569</v>
          </cell>
          <cell r="D1231">
            <v>70.55</v>
          </cell>
          <cell r="E1231" t="str">
            <v>Mallas</v>
          </cell>
        </row>
        <row r="1232">
          <cell r="A1232">
            <v>1000017571</v>
          </cell>
          <cell r="B1232">
            <v>40570</v>
          </cell>
          <cell r="D1232">
            <v>149.80000000000001</v>
          </cell>
          <cell r="E1232" t="str">
            <v>Materia Prima</v>
          </cell>
        </row>
        <row r="1233">
          <cell r="A1233">
            <v>1000017571</v>
          </cell>
          <cell r="B1233">
            <v>40570</v>
          </cell>
          <cell r="D1233">
            <v>480</v>
          </cell>
          <cell r="E1233" t="str">
            <v>Figurado</v>
          </cell>
        </row>
        <row r="1234">
          <cell r="A1234">
            <v>1000017572</v>
          </cell>
          <cell r="B1234">
            <v>40570</v>
          </cell>
          <cell r="D1234">
            <v>270</v>
          </cell>
          <cell r="E1234" t="str">
            <v>Materia Prima</v>
          </cell>
        </row>
        <row r="1235">
          <cell r="A1235">
            <v>1000017574</v>
          </cell>
          <cell r="B1235">
            <v>40570</v>
          </cell>
          <cell r="D1235">
            <v>108</v>
          </cell>
          <cell r="E1235" t="str">
            <v>Materia Prima</v>
          </cell>
        </row>
        <row r="1236">
          <cell r="A1236">
            <v>1000017574</v>
          </cell>
          <cell r="B1236">
            <v>40570</v>
          </cell>
          <cell r="D1236">
            <v>564.29999999999995</v>
          </cell>
          <cell r="E1236" t="str">
            <v>Figurado</v>
          </cell>
        </row>
        <row r="1237">
          <cell r="A1237">
            <v>1000017576</v>
          </cell>
          <cell r="B1237">
            <v>40570</v>
          </cell>
          <cell r="D1237">
            <v>350.6</v>
          </cell>
          <cell r="E1237" t="str">
            <v>Figurado</v>
          </cell>
        </row>
        <row r="1238">
          <cell r="A1238">
            <v>1000017576</v>
          </cell>
          <cell r="B1238">
            <v>40570</v>
          </cell>
          <cell r="D1238">
            <v>432</v>
          </cell>
          <cell r="E1238" t="str">
            <v>Figurado</v>
          </cell>
        </row>
        <row r="1239">
          <cell r="A1239">
            <v>1000017577</v>
          </cell>
          <cell r="B1239">
            <v>40570</v>
          </cell>
          <cell r="D1239">
            <v>108</v>
          </cell>
          <cell r="E1239" t="str">
            <v>Materia Prima</v>
          </cell>
        </row>
        <row r="1240">
          <cell r="A1240">
            <v>1000017577</v>
          </cell>
          <cell r="B1240">
            <v>40570</v>
          </cell>
          <cell r="D1240">
            <v>478.5</v>
          </cell>
          <cell r="E1240" t="str">
            <v>Figurado</v>
          </cell>
        </row>
        <row r="1241">
          <cell r="A1241">
            <v>1000017608</v>
          </cell>
          <cell r="B1241">
            <v>40570</v>
          </cell>
          <cell r="D1241">
            <v>8937.6</v>
          </cell>
          <cell r="E1241" t="str">
            <v>Materia Prima</v>
          </cell>
        </row>
        <row r="1242">
          <cell r="A1242">
            <v>1000017608</v>
          </cell>
          <cell r="B1242">
            <v>40570</v>
          </cell>
          <cell r="D1242">
            <v>480</v>
          </cell>
          <cell r="E1242" t="str">
            <v>Materia Prima</v>
          </cell>
        </row>
        <row r="1243">
          <cell r="A1243">
            <v>1000017627</v>
          </cell>
          <cell r="B1243">
            <v>40571</v>
          </cell>
          <cell r="D1243">
            <v>400</v>
          </cell>
          <cell r="E1243" t="str">
            <v>Materia Prima</v>
          </cell>
        </row>
        <row r="1244">
          <cell r="A1244">
            <v>1000017628</v>
          </cell>
          <cell r="B1244">
            <v>40571</v>
          </cell>
          <cell r="D1244">
            <v>59.2</v>
          </cell>
          <cell r="E1244" t="str">
            <v>Materia Prima</v>
          </cell>
        </row>
        <row r="1245">
          <cell r="A1245">
            <v>1000017634</v>
          </cell>
          <cell r="B1245">
            <v>40571</v>
          </cell>
          <cell r="D1245">
            <v>33.700000000000003</v>
          </cell>
          <cell r="E1245" t="str">
            <v>Materia Prima</v>
          </cell>
        </row>
        <row r="1246">
          <cell r="A1246">
            <v>1000017634</v>
          </cell>
          <cell r="B1246">
            <v>40571</v>
          </cell>
          <cell r="D1246">
            <v>129.1</v>
          </cell>
          <cell r="E1246" t="str">
            <v>Figurado</v>
          </cell>
        </row>
        <row r="1247">
          <cell r="A1247">
            <v>1000017634</v>
          </cell>
          <cell r="B1247">
            <v>40571</v>
          </cell>
          <cell r="D1247">
            <v>26.6</v>
          </cell>
          <cell r="E1247" t="str">
            <v>Materia Prima</v>
          </cell>
        </row>
        <row r="1248">
          <cell r="A1248">
            <v>1000017634</v>
          </cell>
          <cell r="B1248">
            <v>40571</v>
          </cell>
          <cell r="D1248">
            <v>511.9</v>
          </cell>
          <cell r="E1248" t="str">
            <v>Figurado</v>
          </cell>
        </row>
        <row r="1249">
          <cell r="A1249">
            <v>1000017634</v>
          </cell>
          <cell r="B1249">
            <v>40571</v>
          </cell>
          <cell r="D1249">
            <v>54.5</v>
          </cell>
          <cell r="E1249" t="str">
            <v>Materia Prima</v>
          </cell>
        </row>
        <row r="1250">
          <cell r="A1250">
            <v>1000017634</v>
          </cell>
          <cell r="B1250">
            <v>40571</v>
          </cell>
          <cell r="D1250">
            <v>173.3</v>
          </cell>
          <cell r="E1250" t="str">
            <v>Figurado</v>
          </cell>
        </row>
        <row r="1251">
          <cell r="A1251">
            <v>1000017634</v>
          </cell>
          <cell r="B1251">
            <v>40571</v>
          </cell>
          <cell r="D1251">
            <v>142.9</v>
          </cell>
          <cell r="E1251" t="str">
            <v>Figurado</v>
          </cell>
        </row>
        <row r="1252">
          <cell r="A1252">
            <v>1000017636</v>
          </cell>
          <cell r="B1252">
            <v>40571</v>
          </cell>
          <cell r="D1252">
            <v>16.8</v>
          </cell>
          <cell r="E1252" t="str">
            <v>Materia Prima</v>
          </cell>
        </row>
        <row r="1253">
          <cell r="A1253">
            <v>1000017636</v>
          </cell>
          <cell r="B1253">
            <v>40571</v>
          </cell>
          <cell r="D1253">
            <v>64.599999999999994</v>
          </cell>
          <cell r="E1253" t="str">
            <v>Figurado</v>
          </cell>
        </row>
        <row r="1254">
          <cell r="A1254">
            <v>1000017636</v>
          </cell>
          <cell r="B1254">
            <v>40571</v>
          </cell>
          <cell r="D1254">
            <v>13.3</v>
          </cell>
          <cell r="E1254" t="str">
            <v>Materia Prima</v>
          </cell>
        </row>
        <row r="1255">
          <cell r="A1255">
            <v>1000017636</v>
          </cell>
          <cell r="B1255">
            <v>40571</v>
          </cell>
          <cell r="D1255">
            <v>255.9</v>
          </cell>
          <cell r="E1255" t="str">
            <v>Figurado</v>
          </cell>
        </row>
        <row r="1256">
          <cell r="A1256">
            <v>1000017636</v>
          </cell>
          <cell r="B1256">
            <v>40571</v>
          </cell>
          <cell r="D1256">
            <v>27.3</v>
          </cell>
          <cell r="E1256" t="str">
            <v>Materia Prima</v>
          </cell>
        </row>
        <row r="1257">
          <cell r="A1257">
            <v>1000017636</v>
          </cell>
          <cell r="B1257">
            <v>40571</v>
          </cell>
          <cell r="D1257">
            <v>113</v>
          </cell>
          <cell r="E1257" t="str">
            <v>Figurado</v>
          </cell>
        </row>
        <row r="1258">
          <cell r="A1258">
            <v>1000017636</v>
          </cell>
          <cell r="B1258">
            <v>40571</v>
          </cell>
          <cell r="D1258">
            <v>71.400000000000006</v>
          </cell>
          <cell r="E1258" t="str">
            <v>Figurado</v>
          </cell>
        </row>
        <row r="1259">
          <cell r="A1259">
            <v>1000017637</v>
          </cell>
          <cell r="B1259">
            <v>40571</v>
          </cell>
          <cell r="D1259">
            <v>16.8</v>
          </cell>
          <cell r="E1259" t="str">
            <v>Materia Prima</v>
          </cell>
        </row>
        <row r="1260">
          <cell r="A1260">
            <v>1000017637</v>
          </cell>
          <cell r="B1260">
            <v>40571</v>
          </cell>
          <cell r="D1260">
            <v>64.599999999999994</v>
          </cell>
          <cell r="E1260" t="str">
            <v>Figurado</v>
          </cell>
        </row>
        <row r="1261">
          <cell r="A1261">
            <v>1000017637</v>
          </cell>
          <cell r="B1261">
            <v>40571</v>
          </cell>
          <cell r="D1261">
            <v>13.3</v>
          </cell>
          <cell r="E1261" t="str">
            <v>Materia Prima</v>
          </cell>
        </row>
        <row r="1262">
          <cell r="A1262">
            <v>1000017637</v>
          </cell>
          <cell r="B1262">
            <v>40571</v>
          </cell>
          <cell r="D1262">
            <v>255.9</v>
          </cell>
          <cell r="E1262" t="str">
            <v>Figurado</v>
          </cell>
        </row>
        <row r="1263">
          <cell r="A1263">
            <v>1000017637</v>
          </cell>
          <cell r="B1263">
            <v>40571</v>
          </cell>
          <cell r="D1263">
            <v>27.3</v>
          </cell>
          <cell r="E1263" t="str">
            <v>Materia Prima</v>
          </cell>
        </row>
        <row r="1264">
          <cell r="A1264">
            <v>1000017637</v>
          </cell>
          <cell r="B1264">
            <v>40571</v>
          </cell>
          <cell r="D1264">
            <v>113</v>
          </cell>
          <cell r="E1264" t="str">
            <v>Figurado</v>
          </cell>
        </row>
        <row r="1265">
          <cell r="A1265">
            <v>1000017637</v>
          </cell>
          <cell r="B1265">
            <v>40571</v>
          </cell>
          <cell r="D1265">
            <v>71.400000000000006</v>
          </cell>
          <cell r="E1265" t="str">
            <v>Figurado</v>
          </cell>
        </row>
        <row r="1266">
          <cell r="A1266">
            <v>1000017640</v>
          </cell>
          <cell r="B1266">
            <v>40571</v>
          </cell>
          <cell r="D1266">
            <v>2109</v>
          </cell>
          <cell r="E1266" t="str">
            <v>Mallas</v>
          </cell>
        </row>
        <row r="1267">
          <cell r="A1267">
            <v>1000017640</v>
          </cell>
          <cell r="B1267">
            <v>40571</v>
          </cell>
          <cell r="D1267">
            <v>3384</v>
          </cell>
          <cell r="E1267" t="str">
            <v>Mallas</v>
          </cell>
        </row>
        <row r="1268">
          <cell r="A1268">
            <v>1000017641</v>
          </cell>
          <cell r="B1268">
            <v>40571</v>
          </cell>
          <cell r="D1268">
            <v>1054.5</v>
          </cell>
          <cell r="E1268" t="str">
            <v>Mallas</v>
          </cell>
        </row>
        <row r="1269">
          <cell r="A1269">
            <v>1000017641</v>
          </cell>
          <cell r="B1269">
            <v>40571</v>
          </cell>
          <cell r="D1269">
            <v>1235</v>
          </cell>
          <cell r="E1269" t="str">
            <v>Mallas</v>
          </cell>
        </row>
        <row r="1270">
          <cell r="A1270">
            <v>1000017642</v>
          </cell>
          <cell r="B1270">
            <v>40571</v>
          </cell>
          <cell r="D1270">
            <v>1482</v>
          </cell>
          <cell r="E1270" t="str">
            <v>Mallas</v>
          </cell>
        </row>
        <row r="1271">
          <cell r="A1271">
            <v>1000017662</v>
          </cell>
          <cell r="B1271">
            <v>40571</v>
          </cell>
          <cell r="D1271">
            <v>766.4</v>
          </cell>
          <cell r="E1271" t="str">
            <v>Figurado</v>
          </cell>
        </row>
        <row r="1272">
          <cell r="A1272">
            <v>1000017663</v>
          </cell>
          <cell r="B1272">
            <v>40571</v>
          </cell>
          <cell r="D1272">
            <v>468.1</v>
          </cell>
          <cell r="E1272" t="str">
            <v>Figurado</v>
          </cell>
        </row>
        <row r="1273">
          <cell r="A1273">
            <v>1000017663</v>
          </cell>
          <cell r="B1273">
            <v>40571</v>
          </cell>
          <cell r="D1273">
            <v>460.2</v>
          </cell>
          <cell r="E1273" t="str">
            <v>Figurado</v>
          </cell>
        </row>
        <row r="1274">
          <cell r="A1274">
            <v>1000017663</v>
          </cell>
          <cell r="B1274">
            <v>40571</v>
          </cell>
          <cell r="D1274">
            <v>160.5</v>
          </cell>
          <cell r="E1274" t="str">
            <v>Figurado</v>
          </cell>
        </row>
        <row r="1275">
          <cell r="A1275">
            <v>1000017663</v>
          </cell>
          <cell r="B1275">
            <v>40571</v>
          </cell>
          <cell r="D1275">
            <v>115.2</v>
          </cell>
          <cell r="E1275" t="str">
            <v>Figurado</v>
          </cell>
        </row>
        <row r="1276">
          <cell r="A1276">
            <v>1000017663</v>
          </cell>
          <cell r="B1276">
            <v>40571</v>
          </cell>
          <cell r="D1276">
            <v>64.900000000000006</v>
          </cell>
          <cell r="E1276" t="str">
            <v>Figurado</v>
          </cell>
        </row>
        <row r="1277">
          <cell r="A1277">
            <v>1000017664</v>
          </cell>
          <cell r="B1277">
            <v>40571</v>
          </cell>
          <cell r="D1277">
            <v>341</v>
          </cell>
          <cell r="E1277" t="str">
            <v>Figurado</v>
          </cell>
        </row>
        <row r="1278">
          <cell r="A1278">
            <v>1000017664</v>
          </cell>
          <cell r="B1278">
            <v>40571</v>
          </cell>
          <cell r="D1278">
            <v>418</v>
          </cell>
          <cell r="E1278" t="str">
            <v>Figurado</v>
          </cell>
        </row>
        <row r="1279">
          <cell r="A1279">
            <v>1000017664</v>
          </cell>
          <cell r="B1279">
            <v>40571</v>
          </cell>
          <cell r="D1279">
            <v>118.6</v>
          </cell>
          <cell r="E1279" t="str">
            <v>Figurado</v>
          </cell>
        </row>
        <row r="1280">
          <cell r="A1280">
            <v>1000017665</v>
          </cell>
          <cell r="B1280">
            <v>40571</v>
          </cell>
          <cell r="D1280">
            <v>96</v>
          </cell>
          <cell r="E1280" t="str">
            <v>Materia Prima</v>
          </cell>
        </row>
        <row r="1281">
          <cell r="A1281">
            <v>1000017665</v>
          </cell>
          <cell r="B1281">
            <v>40571</v>
          </cell>
          <cell r="D1281">
            <v>502</v>
          </cell>
          <cell r="E1281" t="str">
            <v>Figurado</v>
          </cell>
        </row>
        <row r="1282">
          <cell r="A1282">
            <v>1000017665</v>
          </cell>
          <cell r="B1282">
            <v>40571</v>
          </cell>
          <cell r="D1282">
            <v>986.6</v>
          </cell>
          <cell r="E1282" t="str">
            <v>Figurado</v>
          </cell>
        </row>
        <row r="1283">
          <cell r="A1283">
            <v>1000017665</v>
          </cell>
          <cell r="B1283">
            <v>40571</v>
          </cell>
          <cell r="D1283">
            <v>110.7</v>
          </cell>
          <cell r="E1283" t="str">
            <v>Figurado</v>
          </cell>
        </row>
        <row r="1284">
          <cell r="A1284">
            <v>1000017671</v>
          </cell>
          <cell r="B1284">
            <v>40572</v>
          </cell>
          <cell r="D1284">
            <v>85.7</v>
          </cell>
          <cell r="E1284" t="str">
            <v>Figurado</v>
          </cell>
        </row>
        <row r="1285">
          <cell r="A1285">
            <v>1000017671</v>
          </cell>
          <cell r="B1285">
            <v>40572</v>
          </cell>
          <cell r="D1285">
            <v>1699.4</v>
          </cell>
          <cell r="E1285" t="str">
            <v>Figurado</v>
          </cell>
        </row>
        <row r="1286">
          <cell r="A1286">
            <v>1000017671</v>
          </cell>
          <cell r="B1286">
            <v>40572</v>
          </cell>
          <cell r="D1286">
            <v>4303.1000000000004</v>
          </cell>
          <cell r="E1286" t="str">
            <v>Figurado</v>
          </cell>
        </row>
        <row r="1287">
          <cell r="A1287">
            <v>1000017671</v>
          </cell>
          <cell r="B1287">
            <v>40572</v>
          </cell>
          <cell r="D1287">
            <v>541</v>
          </cell>
          <cell r="E1287" t="str">
            <v>Figurado</v>
          </cell>
        </row>
        <row r="1288">
          <cell r="A1288">
            <v>1000017672</v>
          </cell>
          <cell r="B1288">
            <v>40572</v>
          </cell>
          <cell r="D1288">
            <v>156.5</v>
          </cell>
          <cell r="E1288" t="str">
            <v>Figurado</v>
          </cell>
        </row>
        <row r="1289">
          <cell r="A1289">
            <v>1000017675</v>
          </cell>
          <cell r="B1289">
            <v>40572</v>
          </cell>
          <cell r="D1289">
            <v>610.1</v>
          </cell>
          <cell r="E1289" t="str">
            <v>Figurado</v>
          </cell>
        </row>
        <row r="1290">
          <cell r="A1290">
            <v>1000017675</v>
          </cell>
          <cell r="B1290">
            <v>40572</v>
          </cell>
          <cell r="D1290">
            <v>464.1</v>
          </cell>
          <cell r="E1290" t="str">
            <v>Figurado</v>
          </cell>
        </row>
        <row r="1291">
          <cell r="A1291">
            <v>1000017675</v>
          </cell>
          <cell r="B1291">
            <v>40572</v>
          </cell>
          <cell r="D1291">
            <v>720</v>
          </cell>
          <cell r="E1291" t="str">
            <v>Figurado</v>
          </cell>
        </row>
        <row r="1292">
          <cell r="A1292">
            <v>1000017675</v>
          </cell>
          <cell r="B1292">
            <v>40572</v>
          </cell>
          <cell r="D1292">
            <v>841.5</v>
          </cell>
          <cell r="E1292" t="str">
            <v>Figurado</v>
          </cell>
        </row>
        <row r="1293">
          <cell r="A1293">
            <v>1000017675</v>
          </cell>
          <cell r="B1293">
            <v>40572</v>
          </cell>
          <cell r="D1293">
            <v>374</v>
          </cell>
          <cell r="E1293" t="str">
            <v>Figurado</v>
          </cell>
        </row>
        <row r="1294">
          <cell r="A1294">
            <v>1000017678</v>
          </cell>
          <cell r="B1294">
            <v>40572</v>
          </cell>
          <cell r="D1294">
            <v>236.8</v>
          </cell>
          <cell r="E1294" t="str">
            <v>Materia Prima</v>
          </cell>
        </row>
        <row r="1295">
          <cell r="A1295">
            <v>1000017679</v>
          </cell>
          <cell r="B1295">
            <v>40572</v>
          </cell>
          <cell r="D1295">
            <v>320</v>
          </cell>
          <cell r="E1295" t="str">
            <v>Materia Prima</v>
          </cell>
        </row>
        <row r="1296">
          <cell r="A1296">
            <v>1000017680</v>
          </cell>
          <cell r="B1296">
            <v>40572</v>
          </cell>
          <cell r="D1296">
            <v>10611.04</v>
          </cell>
          <cell r="E1296" t="str">
            <v>Mallas</v>
          </cell>
        </row>
        <row r="1297">
          <cell r="A1297">
            <v>1000017683</v>
          </cell>
          <cell r="B1297">
            <v>40572</v>
          </cell>
          <cell r="D1297">
            <v>3714.8</v>
          </cell>
          <cell r="E1297" t="str">
            <v>Figurado</v>
          </cell>
        </row>
        <row r="1298">
          <cell r="A1298">
            <v>1000017684</v>
          </cell>
          <cell r="B1298">
            <v>40572</v>
          </cell>
          <cell r="D1298">
            <v>1008</v>
          </cell>
          <cell r="E1298" t="str">
            <v>Materia Prima</v>
          </cell>
        </row>
        <row r="1299">
          <cell r="A1299">
            <v>1000017684</v>
          </cell>
          <cell r="B1299">
            <v>40572</v>
          </cell>
          <cell r="D1299">
            <v>1200</v>
          </cell>
          <cell r="E1299" t="str">
            <v>Materia Prima</v>
          </cell>
        </row>
        <row r="1300">
          <cell r="A1300">
            <v>1000017684</v>
          </cell>
          <cell r="B1300">
            <v>40572</v>
          </cell>
          <cell r="D1300">
            <v>5400</v>
          </cell>
          <cell r="E1300" t="str">
            <v>Materia Prima</v>
          </cell>
        </row>
        <row r="1301">
          <cell r="A1301">
            <v>1000017694</v>
          </cell>
          <cell r="B1301">
            <v>40572</v>
          </cell>
          <cell r="D1301">
            <v>54</v>
          </cell>
          <cell r="E1301" t="str">
            <v>Materia Prima</v>
          </cell>
        </row>
        <row r="1302">
          <cell r="A1302">
            <v>1000017694</v>
          </cell>
          <cell r="B1302">
            <v>40572</v>
          </cell>
          <cell r="D1302">
            <v>156</v>
          </cell>
          <cell r="E1302" t="str">
            <v>Figurado</v>
          </cell>
        </row>
        <row r="1303">
          <cell r="A1303">
            <v>1000017694</v>
          </cell>
          <cell r="B1303">
            <v>40572</v>
          </cell>
          <cell r="D1303">
            <v>3104.6</v>
          </cell>
          <cell r="E1303" t="str">
            <v>Figurado</v>
          </cell>
        </row>
        <row r="1304">
          <cell r="A1304">
            <v>1000017695</v>
          </cell>
          <cell r="B1304">
            <v>40572</v>
          </cell>
          <cell r="D1304">
            <v>7565.8</v>
          </cell>
          <cell r="E1304" t="str">
            <v>Figurado</v>
          </cell>
        </row>
        <row r="1305">
          <cell r="A1305">
            <v>1000017696</v>
          </cell>
          <cell r="B1305">
            <v>40572</v>
          </cell>
          <cell r="D1305">
            <v>108</v>
          </cell>
          <cell r="E1305" t="str">
            <v>Materia Prima</v>
          </cell>
        </row>
        <row r="1306">
          <cell r="A1306">
            <v>1000017697</v>
          </cell>
          <cell r="B1306">
            <v>40572</v>
          </cell>
          <cell r="D1306">
            <v>108</v>
          </cell>
          <cell r="E1306" t="str">
            <v>Materia Prima</v>
          </cell>
        </row>
        <row r="1307">
          <cell r="A1307">
            <v>1000017697</v>
          </cell>
          <cell r="B1307">
            <v>40572</v>
          </cell>
          <cell r="D1307">
            <v>10453.6</v>
          </cell>
          <cell r="E1307" t="str">
            <v>Figurado</v>
          </cell>
        </row>
        <row r="1308">
          <cell r="A1308">
            <v>1000017698</v>
          </cell>
          <cell r="B1308">
            <v>40572</v>
          </cell>
          <cell r="D1308">
            <v>121</v>
          </cell>
          <cell r="E1308" t="str">
            <v>Materia Prima</v>
          </cell>
        </row>
        <row r="1309">
          <cell r="A1309">
            <v>1000017698</v>
          </cell>
          <cell r="B1309">
            <v>40572</v>
          </cell>
          <cell r="D1309">
            <v>564</v>
          </cell>
          <cell r="E1309" t="str">
            <v>Materia Prima</v>
          </cell>
        </row>
        <row r="1310">
          <cell r="A1310">
            <v>1000017698</v>
          </cell>
          <cell r="B1310">
            <v>40572</v>
          </cell>
          <cell r="D1310">
            <v>228.8</v>
          </cell>
          <cell r="E1310" t="str">
            <v>Figurado</v>
          </cell>
        </row>
        <row r="1311">
          <cell r="A1311">
            <v>1000017698</v>
          </cell>
          <cell r="B1311">
            <v>40572</v>
          </cell>
          <cell r="D1311">
            <v>188.1</v>
          </cell>
          <cell r="E1311" t="str">
            <v>Figurado</v>
          </cell>
        </row>
        <row r="1312">
          <cell r="A1312">
            <v>1000017699</v>
          </cell>
          <cell r="B1312">
            <v>40572</v>
          </cell>
          <cell r="D1312">
            <v>678.7</v>
          </cell>
          <cell r="E1312" t="str">
            <v>Materia Prima</v>
          </cell>
        </row>
        <row r="1313">
          <cell r="A1313">
            <v>1000017699</v>
          </cell>
          <cell r="B1313">
            <v>40572</v>
          </cell>
          <cell r="D1313">
            <v>74.900000000000006</v>
          </cell>
          <cell r="E1313" t="str">
            <v>Materia Prima</v>
          </cell>
        </row>
        <row r="1314">
          <cell r="A1314">
            <v>1000017699</v>
          </cell>
          <cell r="B1314">
            <v>40572</v>
          </cell>
          <cell r="D1314">
            <v>108</v>
          </cell>
          <cell r="E1314" t="str">
            <v>Materia Prima</v>
          </cell>
        </row>
        <row r="1315">
          <cell r="A1315">
            <v>1000017699</v>
          </cell>
          <cell r="B1315">
            <v>40572</v>
          </cell>
          <cell r="D1315">
            <v>70.400000000000006</v>
          </cell>
          <cell r="E1315" t="str">
            <v>Figurado</v>
          </cell>
        </row>
        <row r="1316">
          <cell r="A1316">
            <v>1000017700</v>
          </cell>
          <cell r="B1316">
            <v>40572</v>
          </cell>
          <cell r="D1316">
            <v>672</v>
          </cell>
          <cell r="E1316" t="str">
            <v>Materia Prima</v>
          </cell>
        </row>
        <row r="1317">
          <cell r="A1317">
            <v>1000017318</v>
          </cell>
          <cell r="B1317">
            <v>40561</v>
          </cell>
          <cell r="D1317">
            <v>432.3</v>
          </cell>
          <cell r="E1317" t="str">
            <v>Figurado</v>
          </cell>
        </row>
        <row r="1318">
          <cell r="A1318">
            <v>1000017318</v>
          </cell>
          <cell r="B1318">
            <v>40561</v>
          </cell>
          <cell r="D1318">
            <v>1788.8</v>
          </cell>
          <cell r="E1318" t="str">
            <v>Figurado</v>
          </cell>
        </row>
        <row r="1319">
          <cell r="A1319">
            <v>1000017325</v>
          </cell>
          <cell r="B1319">
            <v>40561</v>
          </cell>
          <cell r="D1319">
            <v>3126</v>
          </cell>
          <cell r="E1319" t="str">
            <v>Figurado</v>
          </cell>
        </row>
        <row r="1320">
          <cell r="A1320">
            <v>1000017552</v>
          </cell>
          <cell r="B1320">
            <v>40569</v>
          </cell>
          <cell r="D1320">
            <v>11108.2</v>
          </cell>
          <cell r="E1320" t="str">
            <v>Figurado</v>
          </cell>
        </row>
        <row r="1321">
          <cell r="A1321">
            <v>1000017629</v>
          </cell>
          <cell r="B1321">
            <v>40571</v>
          </cell>
          <cell r="D1321">
            <v>80.599999999999994</v>
          </cell>
          <cell r="E1321" t="str">
            <v>Materia Prima</v>
          </cell>
        </row>
        <row r="1322">
          <cell r="A1322">
            <v>1000017629</v>
          </cell>
          <cell r="B1322">
            <v>40571</v>
          </cell>
          <cell r="D1322">
            <v>2344.8000000000002</v>
          </cell>
          <cell r="E1322" t="str">
            <v>Figurado</v>
          </cell>
        </row>
        <row r="1323">
          <cell r="A1323">
            <v>1000017630</v>
          </cell>
          <cell r="B1323">
            <v>40571</v>
          </cell>
          <cell r="D1323">
            <v>428.2</v>
          </cell>
          <cell r="E1323" t="str">
            <v>Figurado</v>
          </cell>
        </row>
        <row r="1324">
          <cell r="A1324">
            <v>1000017631</v>
          </cell>
          <cell r="B1324">
            <v>40571</v>
          </cell>
          <cell r="D1324">
            <v>637.70000000000005</v>
          </cell>
          <cell r="E1324" t="str">
            <v>Figurado</v>
          </cell>
        </row>
        <row r="1325">
          <cell r="A1325">
            <v>1000017632</v>
          </cell>
          <cell r="B1325">
            <v>40571</v>
          </cell>
          <cell r="D1325">
            <v>1008</v>
          </cell>
          <cell r="E1325" t="str">
            <v>Figurado</v>
          </cell>
        </row>
        <row r="1326">
          <cell r="A1326">
            <v>1000017633</v>
          </cell>
          <cell r="B1326">
            <v>40571</v>
          </cell>
          <cell r="D1326">
            <v>161.30000000000001</v>
          </cell>
          <cell r="E1326" t="str">
            <v>Materia Prima</v>
          </cell>
        </row>
        <row r="1327">
          <cell r="A1327">
            <v>1000017633</v>
          </cell>
          <cell r="B1327">
            <v>40571</v>
          </cell>
          <cell r="D1327">
            <v>2744.7</v>
          </cell>
          <cell r="E1327" t="str">
            <v>Figurado</v>
          </cell>
        </row>
        <row r="1328">
          <cell r="A1328">
            <v>1000017643</v>
          </cell>
          <cell r="B1328">
            <v>40571</v>
          </cell>
          <cell r="D1328">
            <v>401.6</v>
          </cell>
          <cell r="E1328" t="str">
            <v>Figurado</v>
          </cell>
        </row>
        <row r="1329">
          <cell r="A1329">
            <v>1000017644</v>
          </cell>
          <cell r="B1329">
            <v>40571</v>
          </cell>
          <cell r="D1329">
            <v>390.5</v>
          </cell>
          <cell r="E1329" t="str">
            <v>Figurado</v>
          </cell>
        </row>
        <row r="1330">
          <cell r="A1330">
            <v>1000017645</v>
          </cell>
          <cell r="B1330">
            <v>40571</v>
          </cell>
          <cell r="D1330">
            <v>494.3</v>
          </cell>
          <cell r="E1330" t="str">
            <v>Figurado</v>
          </cell>
        </row>
        <row r="1331">
          <cell r="A1331">
            <v>1000017659</v>
          </cell>
          <cell r="B1331">
            <v>40571</v>
          </cell>
          <cell r="D1331">
            <v>936</v>
          </cell>
          <cell r="E1331" t="str">
            <v>Materia Prima</v>
          </cell>
        </row>
        <row r="1332">
          <cell r="A1332">
            <v>1000017659</v>
          </cell>
          <cell r="B1332">
            <v>40571</v>
          </cell>
          <cell r="D1332">
            <v>2672.7</v>
          </cell>
          <cell r="E1332" t="str">
            <v>Figurado</v>
          </cell>
        </row>
        <row r="1333">
          <cell r="A1333">
            <v>1000017660</v>
          </cell>
          <cell r="B1333">
            <v>40571</v>
          </cell>
          <cell r="D1333">
            <v>367.2</v>
          </cell>
          <cell r="E1333" t="str">
            <v>Materia Prima</v>
          </cell>
        </row>
        <row r="1334">
          <cell r="A1334">
            <v>1000017660</v>
          </cell>
          <cell r="B1334">
            <v>40571</v>
          </cell>
          <cell r="D1334">
            <v>342</v>
          </cell>
          <cell r="E1334" t="str">
            <v>Figurado</v>
          </cell>
        </row>
        <row r="1335">
          <cell r="A1335">
            <v>1000017661</v>
          </cell>
          <cell r="B1335">
            <v>40571</v>
          </cell>
          <cell r="D1335">
            <v>194.5</v>
          </cell>
          <cell r="E1335" t="str">
            <v>Figurado</v>
          </cell>
        </row>
        <row r="1336">
          <cell r="A1336">
            <v>1000017661</v>
          </cell>
          <cell r="B1336">
            <v>40571</v>
          </cell>
          <cell r="D1336">
            <v>366.3</v>
          </cell>
          <cell r="E1336" t="str">
            <v>Figurado</v>
          </cell>
        </row>
        <row r="1337">
          <cell r="A1337">
            <v>1000017661</v>
          </cell>
          <cell r="B1337">
            <v>40571</v>
          </cell>
          <cell r="D1337">
            <v>352.5</v>
          </cell>
          <cell r="E1337" t="str">
            <v>Figurado</v>
          </cell>
        </row>
        <row r="1338">
          <cell r="A1338">
            <v>1000017661</v>
          </cell>
          <cell r="B1338">
            <v>40571</v>
          </cell>
          <cell r="D1338">
            <v>724.8</v>
          </cell>
          <cell r="E1338" t="str">
            <v>Figurado</v>
          </cell>
        </row>
        <row r="1339">
          <cell r="A1339">
            <v>1000017668</v>
          </cell>
          <cell r="B1339">
            <v>40572</v>
          </cell>
          <cell r="D1339">
            <v>1344</v>
          </cell>
          <cell r="E1339" t="str">
            <v>Materia Prima</v>
          </cell>
        </row>
        <row r="1340">
          <cell r="A1340">
            <v>1000017669</v>
          </cell>
          <cell r="B1340">
            <v>40572</v>
          </cell>
          <cell r="D1340">
            <v>336</v>
          </cell>
          <cell r="E1340" t="str">
            <v>Materia Prima</v>
          </cell>
        </row>
        <row r="1341">
          <cell r="A1341">
            <v>1000017669</v>
          </cell>
          <cell r="B1341">
            <v>40572</v>
          </cell>
          <cell r="D1341">
            <v>240</v>
          </cell>
          <cell r="E1341" t="str">
            <v>Materia Prima</v>
          </cell>
        </row>
        <row r="1342">
          <cell r="A1342">
            <v>1000017669</v>
          </cell>
          <cell r="B1342">
            <v>40572</v>
          </cell>
          <cell r="D1342">
            <v>810</v>
          </cell>
          <cell r="E1342" t="str">
            <v>Materia Prima</v>
          </cell>
        </row>
        <row r="1343">
          <cell r="A1343">
            <v>1000017670</v>
          </cell>
          <cell r="B1343">
            <v>40572</v>
          </cell>
          <cell r="D1343">
            <v>792</v>
          </cell>
          <cell r="E1343" t="str">
            <v>Materia Prima</v>
          </cell>
        </row>
        <row r="1344">
          <cell r="A1344">
            <v>1000017685</v>
          </cell>
          <cell r="B1344">
            <v>40572</v>
          </cell>
          <cell r="D1344">
            <v>6501.6</v>
          </cell>
          <cell r="E1344" t="str">
            <v>Figurado</v>
          </cell>
        </row>
        <row r="1345">
          <cell r="A1345">
            <v>1000017686</v>
          </cell>
          <cell r="B1345">
            <v>40572</v>
          </cell>
          <cell r="D1345">
            <v>7660.1</v>
          </cell>
          <cell r="E1345" t="str">
            <v>Figurado</v>
          </cell>
        </row>
        <row r="1346">
          <cell r="A1346">
            <v>1000017687</v>
          </cell>
          <cell r="B1346">
            <v>40572</v>
          </cell>
          <cell r="D1346">
            <v>2016</v>
          </cell>
          <cell r="E1346" t="str">
            <v>Materia Prima</v>
          </cell>
        </row>
        <row r="1347">
          <cell r="A1347">
            <v>1000017687</v>
          </cell>
          <cell r="B1347">
            <v>40572</v>
          </cell>
          <cell r="D1347">
            <v>179.3</v>
          </cell>
          <cell r="E1347" t="str">
            <v>Figurado</v>
          </cell>
        </row>
        <row r="1348">
          <cell r="A1348">
            <v>1000017687</v>
          </cell>
          <cell r="B1348">
            <v>40572</v>
          </cell>
          <cell r="D1348">
            <v>717.6</v>
          </cell>
          <cell r="E1348" t="str">
            <v>Figurado</v>
          </cell>
        </row>
        <row r="1349">
          <cell r="A1349">
            <v>1000017688</v>
          </cell>
          <cell r="B1349">
            <v>40572</v>
          </cell>
          <cell r="D1349">
            <v>517.4</v>
          </cell>
          <cell r="E1349" t="str">
            <v>Materia Prima</v>
          </cell>
        </row>
        <row r="1350">
          <cell r="A1350">
            <v>1000017688</v>
          </cell>
          <cell r="B1350">
            <v>40572</v>
          </cell>
          <cell r="D1350">
            <v>444</v>
          </cell>
          <cell r="E1350" t="str">
            <v>Materia Prima</v>
          </cell>
        </row>
        <row r="1351">
          <cell r="A1351">
            <v>1000017688</v>
          </cell>
          <cell r="B1351">
            <v>40572</v>
          </cell>
          <cell r="D1351">
            <v>234.89999999999998</v>
          </cell>
          <cell r="E1351" t="str">
            <v>Figurado</v>
          </cell>
        </row>
        <row r="1352">
          <cell r="A1352">
            <v>1000017688</v>
          </cell>
          <cell r="B1352">
            <v>40572</v>
          </cell>
          <cell r="D1352">
            <v>395.7</v>
          </cell>
          <cell r="E1352" t="str">
            <v>Figurado</v>
          </cell>
        </row>
        <row r="1353">
          <cell r="A1353">
            <v>1000017688</v>
          </cell>
          <cell r="B1353">
            <v>40572</v>
          </cell>
          <cell r="D1353">
            <v>1072.8</v>
          </cell>
          <cell r="E1353" t="str">
            <v>Figurado</v>
          </cell>
        </row>
        <row r="1354">
          <cell r="A1354">
            <v>1000017689</v>
          </cell>
          <cell r="B1354">
            <v>40572</v>
          </cell>
          <cell r="D1354">
            <v>418.4</v>
          </cell>
          <cell r="E1354" t="str">
            <v>Figurado</v>
          </cell>
        </row>
        <row r="1355">
          <cell r="A1355">
            <v>1000017690</v>
          </cell>
          <cell r="B1355">
            <v>40572</v>
          </cell>
          <cell r="D1355">
            <v>33.6</v>
          </cell>
          <cell r="E1355" t="str">
            <v>Materia Prima</v>
          </cell>
        </row>
        <row r="1356">
          <cell r="A1356">
            <v>1000017690</v>
          </cell>
          <cell r="B1356">
            <v>40572</v>
          </cell>
          <cell r="D1356">
            <v>24</v>
          </cell>
          <cell r="E1356" t="str">
            <v>Materia Prima</v>
          </cell>
        </row>
        <row r="1357">
          <cell r="A1357">
            <v>1000017690</v>
          </cell>
          <cell r="B1357">
            <v>40572</v>
          </cell>
          <cell r="D1357">
            <v>102.9</v>
          </cell>
          <cell r="E1357" t="str">
            <v>Figurado</v>
          </cell>
        </row>
        <row r="1358">
          <cell r="A1358">
            <v>1000017690</v>
          </cell>
          <cell r="B1358">
            <v>40572</v>
          </cell>
          <cell r="D1358">
            <v>805.5</v>
          </cell>
          <cell r="E1358" t="str">
            <v>Figurado</v>
          </cell>
        </row>
        <row r="1359">
          <cell r="A1359">
            <v>1000017690</v>
          </cell>
          <cell r="B1359">
            <v>40572</v>
          </cell>
          <cell r="D1359">
            <v>1007.4</v>
          </cell>
          <cell r="E1359" t="str">
            <v>Figurado</v>
          </cell>
        </row>
        <row r="1360">
          <cell r="A1360">
            <v>1000017690</v>
          </cell>
          <cell r="B1360">
            <v>40572</v>
          </cell>
          <cell r="D1360">
            <v>231.1</v>
          </cell>
          <cell r="E1360" t="str">
            <v>Figurado</v>
          </cell>
        </row>
        <row r="1361">
          <cell r="A1361">
            <v>1000017690</v>
          </cell>
          <cell r="B1361">
            <v>40572</v>
          </cell>
          <cell r="D1361">
            <v>180.6</v>
          </cell>
          <cell r="E1361" t="str">
            <v>Figurado</v>
          </cell>
        </row>
        <row r="1362">
          <cell r="A1362">
            <v>1000017691</v>
          </cell>
          <cell r="B1362">
            <v>40572</v>
          </cell>
          <cell r="D1362">
            <v>434.3</v>
          </cell>
          <cell r="E1362" t="str">
            <v>Figurado</v>
          </cell>
        </row>
        <row r="1363">
          <cell r="A1363">
            <v>1000017692</v>
          </cell>
          <cell r="B1363">
            <v>40572</v>
          </cell>
          <cell r="D1363">
            <v>13.4</v>
          </cell>
          <cell r="E1363" t="str">
            <v>Figurado</v>
          </cell>
        </row>
        <row r="1364">
          <cell r="A1364">
            <v>1000017693</v>
          </cell>
          <cell r="B1364">
            <v>40572</v>
          </cell>
          <cell r="D1364">
            <v>106</v>
          </cell>
          <cell r="E1364" t="str">
            <v>Figurado</v>
          </cell>
        </row>
        <row r="1365">
          <cell r="A1365">
            <v>1000017705</v>
          </cell>
          <cell r="B1365">
            <v>40573</v>
          </cell>
          <cell r="D1365">
            <v>30643.200000000001</v>
          </cell>
          <cell r="E1365" t="str">
            <v>Materia Prima</v>
          </cell>
        </row>
        <row r="1366">
          <cell r="A1366">
            <v>1000017705</v>
          </cell>
          <cell r="B1366">
            <v>40573</v>
          </cell>
          <cell r="D1366">
            <v>6264</v>
          </cell>
          <cell r="E1366" t="str">
            <v>Materia Prima</v>
          </cell>
        </row>
        <row r="1367">
          <cell r="A1367">
            <v>1000017709</v>
          </cell>
          <cell r="B1367">
            <v>40575</v>
          </cell>
          <cell r="D1367">
            <v>9889.5</v>
          </cell>
          <cell r="E1367" t="str">
            <v>Figurado</v>
          </cell>
        </row>
        <row r="1368">
          <cell r="A1368">
            <v>1000017710</v>
          </cell>
          <cell r="B1368">
            <v>40575</v>
          </cell>
          <cell r="D1368">
            <v>257.2</v>
          </cell>
          <cell r="E1368" t="str">
            <v>Figurado</v>
          </cell>
        </row>
        <row r="1369">
          <cell r="A1369">
            <v>1000017710</v>
          </cell>
          <cell r="B1369">
            <v>40575</v>
          </cell>
          <cell r="D1369">
            <v>1494.3</v>
          </cell>
          <cell r="E1369" t="str">
            <v>Figurado</v>
          </cell>
        </row>
        <row r="1370">
          <cell r="A1370">
            <v>1000017711</v>
          </cell>
          <cell r="B1370">
            <v>40575</v>
          </cell>
          <cell r="D1370">
            <v>1008</v>
          </cell>
          <cell r="E1370" t="str">
            <v>Materia Prima</v>
          </cell>
        </row>
        <row r="1371">
          <cell r="A1371">
            <v>1000017711</v>
          </cell>
          <cell r="B1371">
            <v>40575</v>
          </cell>
          <cell r="D1371">
            <v>1800</v>
          </cell>
          <cell r="E1371" t="str">
            <v>Materia Prima</v>
          </cell>
        </row>
        <row r="1372">
          <cell r="A1372">
            <v>1000017711</v>
          </cell>
          <cell r="B1372">
            <v>40575</v>
          </cell>
          <cell r="D1372">
            <v>4050</v>
          </cell>
          <cell r="E1372" t="str">
            <v>Materia Prima</v>
          </cell>
        </row>
        <row r="1373">
          <cell r="A1373">
            <v>1000017712</v>
          </cell>
          <cell r="B1373">
            <v>40575</v>
          </cell>
          <cell r="D1373">
            <v>143.69999999999999</v>
          </cell>
          <cell r="E1373" t="str">
            <v>Figurado</v>
          </cell>
        </row>
        <row r="1374">
          <cell r="A1374">
            <v>1000017713</v>
          </cell>
          <cell r="B1374">
            <v>40575</v>
          </cell>
          <cell r="D1374">
            <v>45.6</v>
          </cell>
          <cell r="E1374" t="str">
            <v>Figurado</v>
          </cell>
        </row>
        <row r="1375">
          <cell r="A1375">
            <v>1000017713</v>
          </cell>
          <cell r="B1375">
            <v>40575</v>
          </cell>
          <cell r="D1375">
            <v>146.80000000000001</v>
          </cell>
          <cell r="E1375" t="str">
            <v>Figurado</v>
          </cell>
        </row>
        <row r="1376">
          <cell r="A1376">
            <v>1000017714</v>
          </cell>
          <cell r="B1376">
            <v>40575</v>
          </cell>
          <cell r="D1376">
            <v>3127.7</v>
          </cell>
          <cell r="E1376" t="str">
            <v>Figurado</v>
          </cell>
        </row>
        <row r="1377">
          <cell r="A1377">
            <v>1000017714</v>
          </cell>
          <cell r="B1377">
            <v>40575</v>
          </cell>
          <cell r="D1377">
            <v>1193.7</v>
          </cell>
          <cell r="E1377" t="str">
            <v>Figurado</v>
          </cell>
        </row>
        <row r="1378">
          <cell r="A1378">
            <v>1000017714</v>
          </cell>
          <cell r="B1378">
            <v>40575</v>
          </cell>
          <cell r="D1378">
            <v>1695.7</v>
          </cell>
          <cell r="E1378" t="str">
            <v>Figurado</v>
          </cell>
        </row>
        <row r="1379">
          <cell r="A1379">
            <v>1000017714</v>
          </cell>
          <cell r="B1379">
            <v>40575</v>
          </cell>
          <cell r="D1379">
            <v>137.69999999999999</v>
          </cell>
          <cell r="E1379" t="str">
            <v>Figurado</v>
          </cell>
        </row>
        <row r="1380">
          <cell r="A1380">
            <v>1000017714</v>
          </cell>
          <cell r="B1380">
            <v>40575</v>
          </cell>
          <cell r="D1380">
            <v>168.9</v>
          </cell>
          <cell r="E1380" t="str">
            <v>Figurado</v>
          </cell>
        </row>
        <row r="1381">
          <cell r="A1381">
            <v>1000017714</v>
          </cell>
          <cell r="B1381">
            <v>40575</v>
          </cell>
          <cell r="D1381">
            <v>153.6</v>
          </cell>
          <cell r="E1381" t="str">
            <v>Figurado</v>
          </cell>
        </row>
        <row r="1382">
          <cell r="A1382">
            <v>1000017715</v>
          </cell>
          <cell r="B1382">
            <v>40575</v>
          </cell>
          <cell r="D1382">
            <v>39.9</v>
          </cell>
          <cell r="E1382" t="str">
            <v>Figurado</v>
          </cell>
        </row>
        <row r="1383">
          <cell r="A1383">
            <v>1000017715</v>
          </cell>
          <cell r="B1383">
            <v>40575</v>
          </cell>
          <cell r="D1383">
            <v>139.1</v>
          </cell>
          <cell r="E1383" t="str">
            <v>Figurado</v>
          </cell>
        </row>
        <row r="1384">
          <cell r="A1384">
            <v>1000017715</v>
          </cell>
          <cell r="B1384">
            <v>40575</v>
          </cell>
          <cell r="D1384">
            <v>1433.3</v>
          </cell>
          <cell r="E1384" t="str">
            <v>Figurado</v>
          </cell>
        </row>
        <row r="1385">
          <cell r="A1385">
            <v>1000017716</v>
          </cell>
          <cell r="B1385">
            <v>40575</v>
          </cell>
          <cell r="D1385">
            <v>192.1</v>
          </cell>
          <cell r="E1385" t="str">
            <v>Figurado</v>
          </cell>
        </row>
        <row r="1386">
          <cell r="A1386">
            <v>1000017717</v>
          </cell>
          <cell r="B1386">
            <v>40575</v>
          </cell>
          <cell r="D1386">
            <v>2494.5</v>
          </cell>
          <cell r="E1386" t="str">
            <v>Figurado</v>
          </cell>
        </row>
        <row r="1387">
          <cell r="A1387">
            <v>1000017717</v>
          </cell>
          <cell r="B1387">
            <v>40575</v>
          </cell>
          <cell r="D1387">
            <v>4132.3</v>
          </cell>
          <cell r="E1387" t="str">
            <v>Figurado</v>
          </cell>
        </row>
        <row r="1388">
          <cell r="A1388">
            <v>1000017717</v>
          </cell>
          <cell r="B1388">
            <v>40575</v>
          </cell>
          <cell r="D1388">
            <v>2280.1</v>
          </cell>
          <cell r="E1388" t="str">
            <v>Figurado</v>
          </cell>
        </row>
        <row r="1389">
          <cell r="A1389">
            <v>1000017718</v>
          </cell>
          <cell r="B1389">
            <v>40575</v>
          </cell>
          <cell r="D1389">
            <v>425.6</v>
          </cell>
          <cell r="E1389" t="str">
            <v>Figurado</v>
          </cell>
        </row>
        <row r="1390">
          <cell r="A1390">
            <v>1000017718</v>
          </cell>
          <cell r="B1390">
            <v>40575</v>
          </cell>
          <cell r="D1390">
            <v>3208</v>
          </cell>
          <cell r="E1390" t="str">
            <v>Figurado</v>
          </cell>
        </row>
        <row r="1391">
          <cell r="A1391">
            <v>1000017719</v>
          </cell>
          <cell r="B1391">
            <v>40575</v>
          </cell>
          <cell r="D1391">
            <v>40.299999999999997</v>
          </cell>
          <cell r="E1391" t="str">
            <v>Materia Prima</v>
          </cell>
        </row>
        <row r="1392">
          <cell r="A1392">
            <v>1000017719</v>
          </cell>
          <cell r="B1392">
            <v>40575</v>
          </cell>
          <cell r="D1392">
            <v>127.7</v>
          </cell>
          <cell r="E1392" t="str">
            <v>Figurado</v>
          </cell>
        </row>
        <row r="1393">
          <cell r="A1393">
            <v>1000017719</v>
          </cell>
          <cell r="B1393">
            <v>40575</v>
          </cell>
          <cell r="D1393">
            <v>966</v>
          </cell>
          <cell r="E1393" t="str">
            <v>Figurado</v>
          </cell>
        </row>
        <row r="1394">
          <cell r="A1394">
            <v>1000017720</v>
          </cell>
          <cell r="B1394">
            <v>40575</v>
          </cell>
          <cell r="D1394">
            <v>255.4</v>
          </cell>
          <cell r="E1394" t="str">
            <v>Figurado</v>
          </cell>
        </row>
        <row r="1395">
          <cell r="A1395">
            <v>1000017720</v>
          </cell>
          <cell r="B1395">
            <v>40575</v>
          </cell>
          <cell r="D1395">
            <v>2052</v>
          </cell>
          <cell r="E1395" t="str">
            <v>Figurado</v>
          </cell>
        </row>
        <row r="1396">
          <cell r="A1396">
            <v>1000017720</v>
          </cell>
          <cell r="B1396">
            <v>40575</v>
          </cell>
          <cell r="D1396">
            <v>232.1</v>
          </cell>
          <cell r="E1396" t="str">
            <v>Figurado</v>
          </cell>
        </row>
        <row r="1397">
          <cell r="A1397">
            <v>1000017721</v>
          </cell>
          <cell r="B1397">
            <v>40575</v>
          </cell>
          <cell r="D1397">
            <v>255.4</v>
          </cell>
          <cell r="E1397" t="str">
            <v>Figurado</v>
          </cell>
        </row>
        <row r="1398">
          <cell r="A1398">
            <v>1000017721</v>
          </cell>
          <cell r="B1398">
            <v>40575</v>
          </cell>
          <cell r="D1398">
            <v>1596</v>
          </cell>
          <cell r="E1398" t="str">
            <v>Figurado</v>
          </cell>
        </row>
        <row r="1399">
          <cell r="A1399">
            <v>1000017721</v>
          </cell>
          <cell r="B1399">
            <v>40575</v>
          </cell>
          <cell r="D1399">
            <v>1005.9</v>
          </cell>
          <cell r="E1399" t="str">
            <v>Figurado</v>
          </cell>
        </row>
        <row r="1400">
          <cell r="A1400">
            <v>1000017722</v>
          </cell>
          <cell r="B1400">
            <v>40575</v>
          </cell>
          <cell r="D1400">
            <v>349.4</v>
          </cell>
          <cell r="E1400" t="str">
            <v>Materia Prima</v>
          </cell>
        </row>
        <row r="1401">
          <cell r="A1401">
            <v>1000017722</v>
          </cell>
          <cell r="B1401">
            <v>40575</v>
          </cell>
          <cell r="D1401">
            <v>324</v>
          </cell>
          <cell r="E1401" t="str">
            <v>Materia Prima</v>
          </cell>
        </row>
        <row r="1402">
          <cell r="A1402">
            <v>1000017732</v>
          </cell>
          <cell r="B1402">
            <v>40575</v>
          </cell>
          <cell r="D1402">
            <v>31.4</v>
          </cell>
          <cell r="E1402" t="str">
            <v>Figurado</v>
          </cell>
        </row>
        <row r="1403">
          <cell r="A1403">
            <v>1000017733</v>
          </cell>
          <cell r="B1403">
            <v>40575</v>
          </cell>
          <cell r="D1403">
            <v>243.4</v>
          </cell>
          <cell r="E1403" t="str">
            <v>Materia Prima</v>
          </cell>
        </row>
        <row r="1404">
          <cell r="A1404">
            <v>1000017733</v>
          </cell>
          <cell r="B1404">
            <v>40575</v>
          </cell>
          <cell r="D1404">
            <v>148</v>
          </cell>
          <cell r="E1404" t="str">
            <v>Figurado</v>
          </cell>
        </row>
        <row r="1405">
          <cell r="A1405">
            <v>1000017733</v>
          </cell>
          <cell r="B1405">
            <v>40575</v>
          </cell>
          <cell r="D1405">
            <v>5447.1</v>
          </cell>
          <cell r="E1405" t="str">
            <v>Figurado</v>
          </cell>
        </row>
        <row r="1406">
          <cell r="A1406">
            <v>1000017734</v>
          </cell>
          <cell r="B1406">
            <v>40575</v>
          </cell>
          <cell r="D1406">
            <v>1674</v>
          </cell>
          <cell r="E1406" t="str">
            <v>Materia Prima</v>
          </cell>
        </row>
        <row r="1407">
          <cell r="A1407">
            <v>1000017734</v>
          </cell>
          <cell r="B1407">
            <v>40575</v>
          </cell>
          <cell r="D1407">
            <v>835.4</v>
          </cell>
          <cell r="E1407" t="str">
            <v>Figurado</v>
          </cell>
        </row>
        <row r="1408">
          <cell r="A1408">
            <v>1000017735</v>
          </cell>
          <cell r="B1408">
            <v>40575</v>
          </cell>
          <cell r="D1408">
            <v>144</v>
          </cell>
          <cell r="E1408" t="str">
            <v>Materia Prima</v>
          </cell>
        </row>
        <row r="1409">
          <cell r="A1409">
            <v>1000017735</v>
          </cell>
          <cell r="B1409">
            <v>40575</v>
          </cell>
          <cell r="D1409">
            <v>1359.7</v>
          </cell>
          <cell r="E1409" t="str">
            <v>Figurado</v>
          </cell>
        </row>
        <row r="1410">
          <cell r="A1410">
            <v>1000017735</v>
          </cell>
          <cell r="B1410">
            <v>40575</v>
          </cell>
          <cell r="D1410">
            <v>1611.6</v>
          </cell>
          <cell r="E1410" t="str">
            <v>Figurado</v>
          </cell>
        </row>
        <row r="1411">
          <cell r="A1411">
            <v>1000017736</v>
          </cell>
          <cell r="B1411">
            <v>40575</v>
          </cell>
          <cell r="D1411">
            <v>72</v>
          </cell>
          <cell r="E1411" t="str">
            <v>Materia Prima</v>
          </cell>
        </row>
        <row r="1412">
          <cell r="A1412">
            <v>1000017736</v>
          </cell>
          <cell r="B1412">
            <v>40575</v>
          </cell>
          <cell r="D1412">
            <v>1145.4000000000001</v>
          </cell>
          <cell r="E1412" t="str">
            <v>Figurado</v>
          </cell>
        </row>
        <row r="1413">
          <cell r="A1413">
            <v>1000017736</v>
          </cell>
          <cell r="B1413">
            <v>40575</v>
          </cell>
          <cell r="D1413">
            <v>1395</v>
          </cell>
          <cell r="E1413" t="str">
            <v>Figurado</v>
          </cell>
        </row>
        <row r="1414">
          <cell r="A1414">
            <v>1000017737</v>
          </cell>
          <cell r="B1414">
            <v>40575</v>
          </cell>
          <cell r="D1414">
            <v>144</v>
          </cell>
          <cell r="E1414" t="str">
            <v>Materia Prima</v>
          </cell>
        </row>
        <row r="1415">
          <cell r="A1415">
            <v>1000017737</v>
          </cell>
          <cell r="B1415">
            <v>40575</v>
          </cell>
          <cell r="D1415">
            <v>1382.8</v>
          </cell>
          <cell r="E1415" t="str">
            <v>Figurado</v>
          </cell>
        </row>
        <row r="1416">
          <cell r="A1416">
            <v>1000017737</v>
          </cell>
          <cell r="B1416">
            <v>40575</v>
          </cell>
          <cell r="D1416">
            <v>1610.2</v>
          </cell>
          <cell r="E1416" t="str">
            <v>Figurado</v>
          </cell>
        </row>
        <row r="1417">
          <cell r="A1417">
            <v>1000017738</v>
          </cell>
          <cell r="B1417">
            <v>40575</v>
          </cell>
          <cell r="D1417">
            <v>891</v>
          </cell>
          <cell r="E1417" t="str">
            <v>Materia Prima</v>
          </cell>
        </row>
        <row r="1418">
          <cell r="A1418">
            <v>1000017741</v>
          </cell>
          <cell r="B1418">
            <v>40575</v>
          </cell>
          <cell r="D1418">
            <v>101.1</v>
          </cell>
          <cell r="E1418" t="str">
            <v>Figurado</v>
          </cell>
        </row>
        <row r="1419">
          <cell r="A1419">
            <v>1000017742</v>
          </cell>
          <cell r="B1419">
            <v>40575</v>
          </cell>
          <cell r="D1419">
            <v>120</v>
          </cell>
          <cell r="E1419" t="str">
            <v>Materia Prima</v>
          </cell>
        </row>
        <row r="1420">
          <cell r="A1420">
            <v>1000017742</v>
          </cell>
          <cell r="B1420">
            <v>40575</v>
          </cell>
          <cell r="D1420">
            <v>383.8</v>
          </cell>
          <cell r="E1420" t="str">
            <v>Figurado</v>
          </cell>
        </row>
        <row r="1421">
          <cell r="A1421">
            <v>1000017742</v>
          </cell>
          <cell r="B1421">
            <v>40575</v>
          </cell>
          <cell r="D1421">
            <v>36.299999999999997</v>
          </cell>
          <cell r="E1421" t="str">
            <v>Figurado</v>
          </cell>
        </row>
        <row r="1422">
          <cell r="A1422">
            <v>1000017742</v>
          </cell>
          <cell r="B1422">
            <v>40575</v>
          </cell>
          <cell r="D1422">
            <v>332.8</v>
          </cell>
          <cell r="E1422" t="str">
            <v>Figurado</v>
          </cell>
        </row>
        <row r="1423">
          <cell r="A1423">
            <v>1000017742</v>
          </cell>
          <cell r="B1423">
            <v>40575</v>
          </cell>
          <cell r="D1423">
            <v>408</v>
          </cell>
          <cell r="E1423" t="str">
            <v>Figurado</v>
          </cell>
        </row>
        <row r="1424">
          <cell r="A1424">
            <v>1000017742</v>
          </cell>
          <cell r="B1424">
            <v>40575</v>
          </cell>
          <cell r="D1424">
            <v>296.10000000000002</v>
          </cell>
          <cell r="E1424" t="str">
            <v>Figurado</v>
          </cell>
        </row>
        <row r="1425">
          <cell r="A1425">
            <v>1000017742</v>
          </cell>
          <cell r="B1425">
            <v>40575</v>
          </cell>
          <cell r="D1425">
            <v>100.7</v>
          </cell>
          <cell r="E1425" t="str">
            <v>Figurado</v>
          </cell>
        </row>
        <row r="1426">
          <cell r="A1426">
            <v>1000017744</v>
          </cell>
          <cell r="B1426">
            <v>40575</v>
          </cell>
          <cell r="D1426">
            <v>1273.8</v>
          </cell>
          <cell r="E1426" t="str">
            <v>Figurado</v>
          </cell>
        </row>
        <row r="1427">
          <cell r="A1427">
            <v>1000017744</v>
          </cell>
          <cell r="B1427">
            <v>40575</v>
          </cell>
          <cell r="D1427">
            <v>664.4</v>
          </cell>
          <cell r="E1427" t="str">
            <v>Figurado</v>
          </cell>
        </row>
        <row r="1428">
          <cell r="A1428">
            <v>1000017744</v>
          </cell>
          <cell r="B1428">
            <v>40575</v>
          </cell>
          <cell r="D1428">
            <v>511.8</v>
          </cell>
          <cell r="E1428" t="str">
            <v>Figurado</v>
          </cell>
        </row>
        <row r="1429">
          <cell r="A1429">
            <v>1000017744</v>
          </cell>
          <cell r="B1429">
            <v>40575</v>
          </cell>
          <cell r="D1429">
            <v>281.7</v>
          </cell>
          <cell r="E1429" t="str">
            <v>Figurado</v>
          </cell>
        </row>
        <row r="1430">
          <cell r="A1430">
            <v>1000017744</v>
          </cell>
          <cell r="B1430">
            <v>40575</v>
          </cell>
          <cell r="D1430">
            <v>44.1</v>
          </cell>
          <cell r="E1430" t="str">
            <v>Figurado</v>
          </cell>
        </row>
        <row r="1431">
          <cell r="A1431">
            <v>1000017744</v>
          </cell>
          <cell r="B1431">
            <v>40575</v>
          </cell>
          <cell r="D1431">
            <v>139.19999999999999</v>
          </cell>
          <cell r="E1431" t="str">
            <v>Figurado</v>
          </cell>
        </row>
        <row r="1432">
          <cell r="A1432">
            <v>1000017745</v>
          </cell>
          <cell r="B1432">
            <v>40575</v>
          </cell>
          <cell r="D1432">
            <v>120</v>
          </cell>
          <cell r="E1432" t="str">
            <v>Materia Prima</v>
          </cell>
        </row>
        <row r="1433">
          <cell r="A1433">
            <v>1000017745</v>
          </cell>
          <cell r="B1433">
            <v>40575</v>
          </cell>
          <cell r="D1433">
            <v>166.9</v>
          </cell>
          <cell r="E1433" t="str">
            <v>Figurado</v>
          </cell>
        </row>
        <row r="1434">
          <cell r="A1434">
            <v>1000017745</v>
          </cell>
          <cell r="B1434">
            <v>40575</v>
          </cell>
          <cell r="D1434">
            <v>10.1</v>
          </cell>
          <cell r="E1434" t="str">
            <v>Figurado</v>
          </cell>
        </row>
        <row r="1435">
          <cell r="A1435">
            <v>1000017745</v>
          </cell>
          <cell r="B1435">
            <v>40575</v>
          </cell>
          <cell r="D1435">
            <v>48.4</v>
          </cell>
          <cell r="E1435" t="str">
            <v>Figurado</v>
          </cell>
        </row>
        <row r="1436">
          <cell r="A1436">
            <v>1000017745</v>
          </cell>
          <cell r="B1436">
            <v>40575</v>
          </cell>
          <cell r="D1436">
            <v>351.2</v>
          </cell>
          <cell r="E1436" t="str">
            <v>Figurado</v>
          </cell>
        </row>
        <row r="1437">
          <cell r="A1437">
            <v>1000017745</v>
          </cell>
          <cell r="B1437">
            <v>40575</v>
          </cell>
          <cell r="D1437">
            <v>51.3</v>
          </cell>
          <cell r="E1437" t="str">
            <v>Figurado</v>
          </cell>
        </row>
        <row r="1438">
          <cell r="A1438">
            <v>1000017745</v>
          </cell>
          <cell r="B1438">
            <v>40575</v>
          </cell>
          <cell r="D1438">
            <v>116.3</v>
          </cell>
          <cell r="E1438" t="str">
            <v>Figurado</v>
          </cell>
        </row>
        <row r="1439">
          <cell r="A1439">
            <v>1000017746</v>
          </cell>
          <cell r="B1439">
            <v>40575</v>
          </cell>
          <cell r="D1439">
            <v>201.6</v>
          </cell>
          <cell r="E1439" t="str">
            <v>Materia Prima</v>
          </cell>
        </row>
        <row r="1440">
          <cell r="A1440">
            <v>1000017746</v>
          </cell>
          <cell r="B1440">
            <v>40575</v>
          </cell>
          <cell r="D1440">
            <v>360</v>
          </cell>
          <cell r="E1440" t="str">
            <v>Materia Prima</v>
          </cell>
        </row>
        <row r="1441">
          <cell r="A1441">
            <v>1000017746</v>
          </cell>
          <cell r="B1441">
            <v>40575</v>
          </cell>
          <cell r="D1441">
            <v>187.2</v>
          </cell>
          <cell r="E1441" t="str">
            <v>Materia Prima</v>
          </cell>
        </row>
        <row r="1442">
          <cell r="A1442">
            <v>1000017746</v>
          </cell>
          <cell r="B1442">
            <v>40575</v>
          </cell>
          <cell r="D1442">
            <v>270</v>
          </cell>
          <cell r="E1442" t="str">
            <v>Materia Prima</v>
          </cell>
        </row>
        <row r="1443">
          <cell r="A1443">
            <v>1000017748</v>
          </cell>
          <cell r="B1443">
            <v>40576</v>
          </cell>
          <cell r="D1443">
            <v>1254.5</v>
          </cell>
          <cell r="E1443" t="str">
            <v>Figurado</v>
          </cell>
        </row>
        <row r="1444">
          <cell r="A1444">
            <v>1000017748</v>
          </cell>
          <cell r="B1444">
            <v>40576</v>
          </cell>
          <cell r="D1444">
            <v>355.4</v>
          </cell>
          <cell r="E1444" t="str">
            <v>Figurado</v>
          </cell>
        </row>
        <row r="1445">
          <cell r="A1445">
            <v>1000017748</v>
          </cell>
          <cell r="B1445">
            <v>40576</v>
          </cell>
          <cell r="D1445">
            <v>1713.4</v>
          </cell>
          <cell r="E1445" t="str">
            <v>Figurado</v>
          </cell>
        </row>
        <row r="1446">
          <cell r="A1446">
            <v>1000017748</v>
          </cell>
          <cell r="B1446">
            <v>40576</v>
          </cell>
          <cell r="D1446">
            <v>1563.5</v>
          </cell>
          <cell r="E1446" t="str">
            <v>Figurado</v>
          </cell>
        </row>
        <row r="1447">
          <cell r="A1447">
            <v>1000017748</v>
          </cell>
          <cell r="B1447">
            <v>40576</v>
          </cell>
          <cell r="D1447">
            <v>372.1</v>
          </cell>
          <cell r="E1447" t="str">
            <v>Figurado</v>
          </cell>
        </row>
        <row r="1448">
          <cell r="A1448">
            <v>1000017748</v>
          </cell>
          <cell r="B1448">
            <v>40576</v>
          </cell>
          <cell r="D1448">
            <v>55.2</v>
          </cell>
          <cell r="E1448" t="str">
            <v>Figurado</v>
          </cell>
        </row>
        <row r="1449">
          <cell r="A1449">
            <v>1000017749</v>
          </cell>
          <cell r="B1449">
            <v>40576</v>
          </cell>
          <cell r="D1449">
            <v>221.2</v>
          </cell>
          <cell r="E1449" t="str">
            <v>Figurado</v>
          </cell>
        </row>
        <row r="1450">
          <cell r="A1450">
            <v>1000017749</v>
          </cell>
          <cell r="B1450">
            <v>40576</v>
          </cell>
          <cell r="D1450">
            <v>36.299999999999997</v>
          </cell>
          <cell r="E1450" t="str">
            <v>Figurado</v>
          </cell>
        </row>
        <row r="1451">
          <cell r="A1451">
            <v>1000017750</v>
          </cell>
          <cell r="B1451">
            <v>40576</v>
          </cell>
          <cell r="D1451">
            <v>67.2</v>
          </cell>
          <cell r="E1451" t="str">
            <v>Materia Prima</v>
          </cell>
        </row>
        <row r="1452">
          <cell r="A1452">
            <v>1000017751</v>
          </cell>
          <cell r="B1452">
            <v>40576</v>
          </cell>
          <cell r="D1452">
            <v>179.2</v>
          </cell>
          <cell r="E1452" t="str">
            <v>Figurado</v>
          </cell>
        </row>
        <row r="1453">
          <cell r="A1453">
            <v>1000017752</v>
          </cell>
          <cell r="B1453">
            <v>40576</v>
          </cell>
          <cell r="D1453">
            <v>1735.6</v>
          </cell>
          <cell r="E1453" t="str">
            <v>Figurado</v>
          </cell>
        </row>
        <row r="1454">
          <cell r="A1454">
            <v>1000017753</v>
          </cell>
          <cell r="B1454">
            <v>40576</v>
          </cell>
          <cell r="D1454">
            <v>662.7</v>
          </cell>
          <cell r="E1454" t="str">
            <v>Figurado</v>
          </cell>
        </row>
        <row r="1455">
          <cell r="A1455">
            <v>1000017753</v>
          </cell>
          <cell r="B1455">
            <v>40576</v>
          </cell>
          <cell r="D1455">
            <v>848.3</v>
          </cell>
          <cell r="E1455" t="str">
            <v>Figurado</v>
          </cell>
        </row>
        <row r="1456">
          <cell r="A1456">
            <v>1000017767</v>
          </cell>
          <cell r="B1456">
            <v>40576</v>
          </cell>
          <cell r="D1456">
            <v>2436.9</v>
          </cell>
          <cell r="E1456" t="str">
            <v>Figurado</v>
          </cell>
        </row>
        <row r="1457">
          <cell r="A1457">
            <v>1000017767</v>
          </cell>
          <cell r="B1457">
            <v>40576</v>
          </cell>
          <cell r="D1457">
            <v>1175.4000000000001</v>
          </cell>
          <cell r="E1457" t="str">
            <v>Figurado</v>
          </cell>
        </row>
        <row r="1458">
          <cell r="A1458">
            <v>1000017767</v>
          </cell>
          <cell r="B1458">
            <v>40576</v>
          </cell>
          <cell r="D1458">
            <v>101.7</v>
          </cell>
          <cell r="E1458" t="str">
            <v>Figurado</v>
          </cell>
        </row>
        <row r="1459">
          <cell r="A1459">
            <v>1000017767</v>
          </cell>
          <cell r="B1459">
            <v>40576</v>
          </cell>
          <cell r="D1459">
            <v>200.4</v>
          </cell>
          <cell r="E1459" t="str">
            <v>Figurado</v>
          </cell>
        </row>
        <row r="1460">
          <cell r="A1460">
            <v>1000017768</v>
          </cell>
          <cell r="B1460">
            <v>40576</v>
          </cell>
          <cell r="D1460">
            <v>470.4</v>
          </cell>
          <cell r="E1460" t="str">
            <v>Materia Prima</v>
          </cell>
        </row>
        <row r="1461">
          <cell r="A1461">
            <v>1000017768</v>
          </cell>
          <cell r="B1461">
            <v>40576</v>
          </cell>
          <cell r="D1461">
            <v>528</v>
          </cell>
          <cell r="E1461" t="str">
            <v>Materia Prima</v>
          </cell>
        </row>
        <row r="1462">
          <cell r="A1462">
            <v>1000017768</v>
          </cell>
          <cell r="B1462">
            <v>40576</v>
          </cell>
          <cell r="D1462">
            <v>779.7</v>
          </cell>
          <cell r="E1462" t="str">
            <v>Figurado</v>
          </cell>
        </row>
        <row r="1463">
          <cell r="A1463">
            <v>1000017768</v>
          </cell>
          <cell r="B1463">
            <v>40576</v>
          </cell>
          <cell r="D1463">
            <v>3010.3</v>
          </cell>
          <cell r="E1463" t="str">
            <v>Figurado</v>
          </cell>
        </row>
        <row r="1464">
          <cell r="A1464">
            <v>1000017771</v>
          </cell>
          <cell r="B1464">
            <v>40576</v>
          </cell>
          <cell r="D1464">
            <v>336</v>
          </cell>
          <cell r="E1464" t="str">
            <v>Materia Prima</v>
          </cell>
        </row>
        <row r="1465">
          <cell r="A1465">
            <v>1000017771</v>
          </cell>
          <cell r="B1465">
            <v>40576</v>
          </cell>
          <cell r="D1465">
            <v>120</v>
          </cell>
          <cell r="E1465" t="str">
            <v>Materia Prima</v>
          </cell>
        </row>
        <row r="1466">
          <cell r="A1466">
            <v>1000017771</v>
          </cell>
          <cell r="B1466">
            <v>40576</v>
          </cell>
          <cell r="D1466">
            <v>67.2</v>
          </cell>
          <cell r="E1466" t="str">
            <v>Figurado</v>
          </cell>
        </row>
        <row r="1467">
          <cell r="A1467">
            <v>1000017771</v>
          </cell>
          <cell r="B1467">
            <v>40576</v>
          </cell>
          <cell r="D1467">
            <v>1827.2</v>
          </cell>
          <cell r="E1467" t="str">
            <v>Figurado</v>
          </cell>
        </row>
        <row r="1468">
          <cell r="A1468">
            <v>1000017771</v>
          </cell>
          <cell r="B1468">
            <v>40576</v>
          </cell>
          <cell r="D1468">
            <v>1721.4</v>
          </cell>
          <cell r="E1468" t="str">
            <v>Figurado</v>
          </cell>
        </row>
        <row r="1469">
          <cell r="A1469">
            <v>1000017771</v>
          </cell>
          <cell r="B1469">
            <v>40576</v>
          </cell>
          <cell r="D1469">
            <v>149.1</v>
          </cell>
          <cell r="E1469" t="str">
            <v>Figurado</v>
          </cell>
        </row>
        <row r="1470">
          <cell r="A1470">
            <v>1000017771</v>
          </cell>
          <cell r="B1470">
            <v>40576</v>
          </cell>
          <cell r="D1470">
            <v>36</v>
          </cell>
          <cell r="E1470" t="str">
            <v>Figurado</v>
          </cell>
        </row>
        <row r="1471">
          <cell r="A1471">
            <v>1000017771</v>
          </cell>
          <cell r="B1471">
            <v>40576</v>
          </cell>
          <cell r="D1471">
            <v>120</v>
          </cell>
          <cell r="E1471" t="str">
            <v>Figurado</v>
          </cell>
        </row>
        <row r="1472">
          <cell r="A1472">
            <v>1000017771</v>
          </cell>
          <cell r="B1472">
            <v>40576</v>
          </cell>
          <cell r="D1472">
            <v>217.6</v>
          </cell>
          <cell r="E1472" t="str">
            <v>Figurado</v>
          </cell>
        </row>
        <row r="1473">
          <cell r="A1473">
            <v>1000017772</v>
          </cell>
          <cell r="B1473">
            <v>40576</v>
          </cell>
          <cell r="D1473">
            <v>2200</v>
          </cell>
          <cell r="E1473" t="str">
            <v>Materia Prima</v>
          </cell>
        </row>
        <row r="1474">
          <cell r="A1474">
            <v>1000017772</v>
          </cell>
          <cell r="B1474">
            <v>40576</v>
          </cell>
          <cell r="D1474">
            <v>848</v>
          </cell>
          <cell r="E1474" t="str">
            <v>Figurado</v>
          </cell>
        </row>
        <row r="1475">
          <cell r="A1475">
            <v>1000017780</v>
          </cell>
          <cell r="B1475">
            <v>40576</v>
          </cell>
          <cell r="D1475">
            <v>7140.2</v>
          </cell>
          <cell r="E1475" t="str">
            <v>Figurado</v>
          </cell>
        </row>
        <row r="1476">
          <cell r="A1476">
            <v>1000017780</v>
          </cell>
          <cell r="B1476">
            <v>40576</v>
          </cell>
          <cell r="D1476">
            <v>4385.6000000000004</v>
          </cell>
          <cell r="E1476" t="str">
            <v>Figurado</v>
          </cell>
        </row>
        <row r="1477">
          <cell r="A1477">
            <v>1000017780</v>
          </cell>
          <cell r="B1477">
            <v>40576</v>
          </cell>
          <cell r="D1477">
            <v>1401.6</v>
          </cell>
          <cell r="E1477" t="str">
            <v>Figurado</v>
          </cell>
        </row>
        <row r="1478">
          <cell r="A1478">
            <v>1000017782</v>
          </cell>
          <cell r="B1478">
            <v>40576</v>
          </cell>
          <cell r="D1478">
            <v>846.1</v>
          </cell>
          <cell r="E1478" t="str">
            <v>Figurado</v>
          </cell>
        </row>
        <row r="1479">
          <cell r="A1479">
            <v>1000017783</v>
          </cell>
          <cell r="B1479">
            <v>40576</v>
          </cell>
          <cell r="D1479">
            <v>161.30000000000001</v>
          </cell>
          <cell r="E1479" t="str">
            <v>Materia Prima</v>
          </cell>
        </row>
        <row r="1480">
          <cell r="A1480">
            <v>1000017783</v>
          </cell>
          <cell r="B1480">
            <v>40576</v>
          </cell>
          <cell r="D1480">
            <v>316.8</v>
          </cell>
          <cell r="E1480" t="str">
            <v>Figurado</v>
          </cell>
        </row>
        <row r="1481">
          <cell r="A1481">
            <v>1000017783</v>
          </cell>
          <cell r="B1481">
            <v>40576</v>
          </cell>
          <cell r="D1481">
            <v>6.7</v>
          </cell>
          <cell r="E1481" t="str">
            <v>Figurado</v>
          </cell>
        </row>
        <row r="1482">
          <cell r="A1482">
            <v>1000017783</v>
          </cell>
          <cell r="B1482">
            <v>40576</v>
          </cell>
          <cell r="D1482">
            <v>12</v>
          </cell>
          <cell r="E1482" t="str">
            <v>Figurado</v>
          </cell>
        </row>
        <row r="1483">
          <cell r="A1483">
            <v>1000017787</v>
          </cell>
          <cell r="B1483">
            <v>40576</v>
          </cell>
          <cell r="D1483">
            <v>683.4</v>
          </cell>
          <cell r="E1483" t="str">
            <v>Figurado</v>
          </cell>
        </row>
        <row r="1484">
          <cell r="A1484">
            <v>1000017787</v>
          </cell>
          <cell r="B1484">
            <v>40576</v>
          </cell>
          <cell r="D1484">
            <v>263.7</v>
          </cell>
          <cell r="E1484" t="str">
            <v>Figurado</v>
          </cell>
        </row>
        <row r="1485">
          <cell r="A1485">
            <v>1000017787</v>
          </cell>
          <cell r="B1485">
            <v>40576</v>
          </cell>
          <cell r="D1485">
            <v>1043.3</v>
          </cell>
          <cell r="E1485" t="str">
            <v>Figurado</v>
          </cell>
        </row>
        <row r="1486">
          <cell r="A1486">
            <v>1000017787</v>
          </cell>
          <cell r="B1486">
            <v>40576</v>
          </cell>
          <cell r="D1486">
            <v>416.7</v>
          </cell>
          <cell r="E1486" t="str">
            <v>Figurado</v>
          </cell>
        </row>
        <row r="1487">
          <cell r="A1487">
            <v>1000017787</v>
          </cell>
          <cell r="B1487">
            <v>40576</v>
          </cell>
          <cell r="D1487">
            <v>1559.4</v>
          </cell>
          <cell r="E1487" t="str">
            <v>Figurado</v>
          </cell>
        </row>
        <row r="1488">
          <cell r="A1488">
            <v>1000017787</v>
          </cell>
          <cell r="B1488">
            <v>40576</v>
          </cell>
          <cell r="D1488">
            <v>43.6</v>
          </cell>
          <cell r="E1488" t="str">
            <v>Figurado</v>
          </cell>
        </row>
        <row r="1489">
          <cell r="A1489">
            <v>1000017788</v>
          </cell>
          <cell r="B1489">
            <v>40576</v>
          </cell>
          <cell r="D1489">
            <v>334.1</v>
          </cell>
          <cell r="E1489" t="str">
            <v>Figurado</v>
          </cell>
        </row>
        <row r="1490">
          <cell r="A1490">
            <v>1000017788</v>
          </cell>
          <cell r="B1490">
            <v>40576</v>
          </cell>
          <cell r="D1490">
            <v>683</v>
          </cell>
          <cell r="E1490" t="str">
            <v>Figurado</v>
          </cell>
        </row>
        <row r="1491">
          <cell r="A1491">
            <v>1000017788</v>
          </cell>
          <cell r="B1491">
            <v>40576</v>
          </cell>
          <cell r="D1491">
            <v>416.7</v>
          </cell>
          <cell r="E1491" t="str">
            <v>Figurado</v>
          </cell>
        </row>
        <row r="1492">
          <cell r="A1492">
            <v>1000017788</v>
          </cell>
          <cell r="B1492">
            <v>40576</v>
          </cell>
          <cell r="D1492">
            <v>1045.3</v>
          </cell>
          <cell r="E1492" t="str">
            <v>Figurado</v>
          </cell>
        </row>
        <row r="1493">
          <cell r="A1493">
            <v>1000017788</v>
          </cell>
          <cell r="B1493">
            <v>40576</v>
          </cell>
          <cell r="D1493">
            <v>43.6</v>
          </cell>
          <cell r="E1493" t="str">
            <v>Figurado</v>
          </cell>
        </row>
        <row r="1494">
          <cell r="A1494">
            <v>1000017789</v>
          </cell>
          <cell r="B1494">
            <v>40576</v>
          </cell>
          <cell r="D1494">
            <v>65.2</v>
          </cell>
          <cell r="E1494" t="str">
            <v>Figurado</v>
          </cell>
        </row>
        <row r="1495">
          <cell r="A1495">
            <v>1000017795</v>
          </cell>
          <cell r="B1495">
            <v>40576</v>
          </cell>
          <cell r="D1495">
            <v>53.8</v>
          </cell>
          <cell r="E1495" t="str">
            <v>Materia Prima</v>
          </cell>
        </row>
        <row r="1496">
          <cell r="A1496">
            <v>1000017795</v>
          </cell>
          <cell r="B1496">
            <v>40576</v>
          </cell>
          <cell r="D1496">
            <v>2.7</v>
          </cell>
          <cell r="E1496" t="str">
            <v>Figurado</v>
          </cell>
        </row>
        <row r="1497">
          <cell r="A1497">
            <v>1000017795</v>
          </cell>
          <cell r="B1497">
            <v>40576</v>
          </cell>
          <cell r="D1497">
            <v>362.8</v>
          </cell>
          <cell r="E1497" t="str">
            <v>Figurado</v>
          </cell>
        </row>
        <row r="1498">
          <cell r="A1498">
            <v>1000017795</v>
          </cell>
          <cell r="B1498">
            <v>40576</v>
          </cell>
          <cell r="D1498">
            <v>7.5</v>
          </cell>
          <cell r="E1498" t="str">
            <v>Figurado</v>
          </cell>
        </row>
        <row r="1499">
          <cell r="A1499">
            <v>1000017795</v>
          </cell>
          <cell r="B1499">
            <v>40576</v>
          </cell>
          <cell r="D1499">
            <v>10.8</v>
          </cell>
          <cell r="E1499" t="str">
            <v>Figurado</v>
          </cell>
        </row>
        <row r="1500">
          <cell r="A1500">
            <v>1000017795</v>
          </cell>
          <cell r="B1500">
            <v>40576</v>
          </cell>
          <cell r="D1500">
            <v>14.7</v>
          </cell>
          <cell r="E1500" t="str">
            <v>Figurado</v>
          </cell>
        </row>
        <row r="1501">
          <cell r="A1501">
            <v>1000017795</v>
          </cell>
          <cell r="B1501">
            <v>40576</v>
          </cell>
          <cell r="D1501">
            <v>19.2</v>
          </cell>
          <cell r="E1501" t="str">
            <v>Figurado</v>
          </cell>
        </row>
        <row r="1502">
          <cell r="A1502">
            <v>1000017796</v>
          </cell>
          <cell r="B1502">
            <v>40576</v>
          </cell>
          <cell r="D1502">
            <v>1288.8</v>
          </cell>
          <cell r="E1502" t="str">
            <v>Figurado</v>
          </cell>
        </row>
        <row r="1503">
          <cell r="A1503">
            <v>1000017796</v>
          </cell>
          <cell r="B1503">
            <v>40576</v>
          </cell>
          <cell r="D1503">
            <v>53.4</v>
          </cell>
          <cell r="E1503" t="str">
            <v>Figurado</v>
          </cell>
        </row>
        <row r="1504">
          <cell r="A1504">
            <v>1000017797</v>
          </cell>
          <cell r="B1504">
            <v>40576</v>
          </cell>
          <cell r="D1504">
            <v>954.8</v>
          </cell>
          <cell r="E1504" t="str">
            <v>Figurado</v>
          </cell>
        </row>
        <row r="1505">
          <cell r="A1505">
            <v>1000017798</v>
          </cell>
          <cell r="B1505">
            <v>40576</v>
          </cell>
          <cell r="D1505">
            <v>1624</v>
          </cell>
          <cell r="E1505" t="str">
            <v>Figurado</v>
          </cell>
        </row>
        <row r="1506">
          <cell r="A1506">
            <v>1000017799</v>
          </cell>
          <cell r="B1506">
            <v>40576</v>
          </cell>
          <cell r="D1506">
            <v>44.4</v>
          </cell>
          <cell r="E1506" t="str">
            <v>Figurado</v>
          </cell>
        </row>
        <row r="1507">
          <cell r="A1507">
            <v>1000017800</v>
          </cell>
          <cell r="B1507">
            <v>40576</v>
          </cell>
          <cell r="D1507">
            <v>799.7</v>
          </cell>
          <cell r="E1507" t="str">
            <v>Materia Prima</v>
          </cell>
        </row>
        <row r="1508">
          <cell r="A1508">
            <v>1000017800</v>
          </cell>
          <cell r="B1508">
            <v>40576</v>
          </cell>
          <cell r="D1508">
            <v>443.5</v>
          </cell>
          <cell r="E1508" t="str">
            <v>Figurado</v>
          </cell>
        </row>
        <row r="1509">
          <cell r="A1509">
            <v>1000017800</v>
          </cell>
          <cell r="B1509">
            <v>40576</v>
          </cell>
          <cell r="D1509">
            <v>2491</v>
          </cell>
          <cell r="E1509" t="str">
            <v>Figurado</v>
          </cell>
        </row>
        <row r="1510">
          <cell r="A1510">
            <v>1000017801</v>
          </cell>
          <cell r="B1510">
            <v>40576</v>
          </cell>
          <cell r="D1510">
            <v>241.9</v>
          </cell>
          <cell r="E1510" t="str">
            <v>Materia Prima</v>
          </cell>
        </row>
        <row r="1511">
          <cell r="A1511">
            <v>1000017801</v>
          </cell>
          <cell r="B1511">
            <v>40576</v>
          </cell>
          <cell r="D1511">
            <v>473.1</v>
          </cell>
          <cell r="E1511" t="str">
            <v>Figurado</v>
          </cell>
        </row>
        <row r="1512">
          <cell r="A1512">
            <v>1000017801</v>
          </cell>
          <cell r="B1512">
            <v>40576</v>
          </cell>
          <cell r="D1512">
            <v>564.79999999999995</v>
          </cell>
          <cell r="E1512" t="str">
            <v>Figurado</v>
          </cell>
        </row>
        <row r="1513">
          <cell r="A1513">
            <v>1000017801</v>
          </cell>
          <cell r="B1513">
            <v>40576</v>
          </cell>
          <cell r="D1513">
            <v>667.7</v>
          </cell>
          <cell r="E1513" t="str">
            <v>Figurado</v>
          </cell>
        </row>
        <row r="1514">
          <cell r="A1514">
            <v>1000017802</v>
          </cell>
          <cell r="B1514">
            <v>40576</v>
          </cell>
          <cell r="D1514">
            <v>747.9</v>
          </cell>
          <cell r="E1514" t="str">
            <v>Figurado</v>
          </cell>
        </row>
        <row r="1515">
          <cell r="A1515">
            <v>1000017803</v>
          </cell>
          <cell r="B1515">
            <v>40576</v>
          </cell>
          <cell r="D1515">
            <v>979.2</v>
          </cell>
          <cell r="E1515" t="str">
            <v>Figurado</v>
          </cell>
        </row>
        <row r="1516">
          <cell r="A1516">
            <v>1000017803</v>
          </cell>
          <cell r="B1516">
            <v>40576</v>
          </cell>
          <cell r="D1516">
            <v>640.79999999999995</v>
          </cell>
          <cell r="E1516" t="str">
            <v>Figurado</v>
          </cell>
        </row>
        <row r="1517">
          <cell r="A1517">
            <v>1000017803</v>
          </cell>
          <cell r="B1517">
            <v>40576</v>
          </cell>
          <cell r="D1517">
            <v>445.5</v>
          </cell>
          <cell r="E1517" t="str">
            <v>Figurado</v>
          </cell>
        </row>
        <row r="1518">
          <cell r="A1518">
            <v>1000017803</v>
          </cell>
          <cell r="B1518">
            <v>40576</v>
          </cell>
          <cell r="D1518">
            <v>223.2</v>
          </cell>
          <cell r="E1518" t="str">
            <v>Figurado</v>
          </cell>
        </row>
        <row r="1519">
          <cell r="A1519">
            <v>1000017805</v>
          </cell>
          <cell r="B1519">
            <v>40576</v>
          </cell>
          <cell r="D1519">
            <v>4288.7</v>
          </cell>
          <cell r="E1519" t="str">
            <v>Figurado</v>
          </cell>
        </row>
        <row r="1520">
          <cell r="A1520">
            <v>1000017806</v>
          </cell>
          <cell r="B1520">
            <v>40576</v>
          </cell>
          <cell r="D1520">
            <v>2616.4</v>
          </cell>
          <cell r="E1520" t="str">
            <v>Figurado</v>
          </cell>
        </row>
        <row r="1521">
          <cell r="A1521">
            <v>1000017807</v>
          </cell>
          <cell r="B1521">
            <v>40577</v>
          </cell>
          <cell r="D1521">
            <v>384</v>
          </cell>
          <cell r="E1521" t="str">
            <v>Materia Prima</v>
          </cell>
        </row>
        <row r="1522">
          <cell r="A1522">
            <v>1000017807</v>
          </cell>
          <cell r="B1522">
            <v>40577</v>
          </cell>
          <cell r="D1522">
            <v>2675.6</v>
          </cell>
          <cell r="E1522" t="str">
            <v>Figurado</v>
          </cell>
        </row>
        <row r="1523">
          <cell r="A1523">
            <v>1000017813</v>
          </cell>
          <cell r="B1523">
            <v>40577</v>
          </cell>
          <cell r="D1523">
            <v>916.8</v>
          </cell>
          <cell r="E1523" t="str">
            <v>Figurado</v>
          </cell>
        </row>
        <row r="1524">
          <cell r="A1524">
            <v>1000017813</v>
          </cell>
          <cell r="B1524">
            <v>40577</v>
          </cell>
          <cell r="D1524">
            <v>16</v>
          </cell>
          <cell r="E1524" t="str">
            <v>Figurado</v>
          </cell>
        </row>
        <row r="1525">
          <cell r="A1525">
            <v>1000017813</v>
          </cell>
          <cell r="B1525">
            <v>40577</v>
          </cell>
          <cell r="D1525">
            <v>105.5</v>
          </cell>
          <cell r="E1525" t="str">
            <v>Figurado</v>
          </cell>
        </row>
        <row r="1526">
          <cell r="A1526">
            <v>1000017815</v>
          </cell>
          <cell r="B1526">
            <v>40577</v>
          </cell>
          <cell r="D1526">
            <v>286</v>
          </cell>
          <cell r="E1526" t="str">
            <v>Figurado</v>
          </cell>
        </row>
        <row r="1527">
          <cell r="A1527">
            <v>1000017815</v>
          </cell>
          <cell r="B1527">
            <v>40577</v>
          </cell>
          <cell r="D1527">
            <v>414.4</v>
          </cell>
          <cell r="E1527" t="str">
            <v>Figurado</v>
          </cell>
        </row>
        <row r="1528">
          <cell r="A1528">
            <v>1000017816</v>
          </cell>
          <cell r="B1528">
            <v>40577</v>
          </cell>
          <cell r="D1528">
            <v>290</v>
          </cell>
          <cell r="E1528" t="str">
            <v>Figurado</v>
          </cell>
        </row>
        <row r="1529">
          <cell r="A1529">
            <v>1000017816</v>
          </cell>
          <cell r="B1529">
            <v>40577</v>
          </cell>
          <cell r="D1529">
            <v>460.2</v>
          </cell>
          <cell r="E1529" t="str">
            <v>Figurado</v>
          </cell>
        </row>
        <row r="1530">
          <cell r="A1530">
            <v>1000017817</v>
          </cell>
          <cell r="B1530">
            <v>40577</v>
          </cell>
          <cell r="D1530">
            <v>916.8</v>
          </cell>
          <cell r="E1530" t="str">
            <v>Figurado</v>
          </cell>
        </row>
        <row r="1531">
          <cell r="A1531">
            <v>1000017817</v>
          </cell>
          <cell r="B1531">
            <v>40577</v>
          </cell>
          <cell r="D1531">
            <v>16</v>
          </cell>
          <cell r="E1531" t="str">
            <v>Figurado</v>
          </cell>
        </row>
        <row r="1532">
          <cell r="A1532">
            <v>1000017817</v>
          </cell>
          <cell r="B1532">
            <v>40577</v>
          </cell>
          <cell r="D1532">
            <v>105.5</v>
          </cell>
          <cell r="E1532" t="str">
            <v>Figurado</v>
          </cell>
        </row>
        <row r="1533">
          <cell r="A1533">
            <v>1000017818</v>
          </cell>
          <cell r="B1533">
            <v>40577</v>
          </cell>
          <cell r="D1533">
            <v>53.8</v>
          </cell>
          <cell r="E1533" t="str">
            <v>Materia Prima</v>
          </cell>
        </row>
        <row r="1534">
          <cell r="A1534">
            <v>1000017818</v>
          </cell>
          <cell r="B1534">
            <v>40577</v>
          </cell>
          <cell r="D1534">
            <v>4237.1000000000004</v>
          </cell>
          <cell r="E1534" t="str">
            <v>Figurado</v>
          </cell>
        </row>
        <row r="1535">
          <cell r="A1535">
            <v>1000017819</v>
          </cell>
          <cell r="B1535">
            <v>40577</v>
          </cell>
          <cell r="D1535">
            <v>762.7</v>
          </cell>
          <cell r="E1535" t="str">
            <v>Figurado</v>
          </cell>
        </row>
        <row r="1536">
          <cell r="A1536">
            <v>1000017827</v>
          </cell>
          <cell r="B1536">
            <v>40577</v>
          </cell>
          <cell r="D1536">
            <v>4111.5</v>
          </cell>
          <cell r="E1536" t="str">
            <v>Figurado</v>
          </cell>
        </row>
        <row r="1537">
          <cell r="A1537">
            <v>1000017828</v>
          </cell>
          <cell r="B1537">
            <v>40577</v>
          </cell>
          <cell r="D1537">
            <v>1358</v>
          </cell>
          <cell r="E1537" t="str">
            <v>Figurado</v>
          </cell>
        </row>
        <row r="1538">
          <cell r="A1538">
            <v>1000017829</v>
          </cell>
          <cell r="B1538">
            <v>40577</v>
          </cell>
          <cell r="D1538">
            <v>402.6</v>
          </cell>
          <cell r="E1538" t="str">
            <v>Figurado</v>
          </cell>
        </row>
        <row r="1539">
          <cell r="A1539">
            <v>1000017830</v>
          </cell>
          <cell r="B1539">
            <v>40577</v>
          </cell>
          <cell r="D1539">
            <v>704</v>
          </cell>
          <cell r="E1539" t="str">
            <v>Figurado</v>
          </cell>
        </row>
        <row r="1540">
          <cell r="A1540">
            <v>1000017493</v>
          </cell>
          <cell r="B1540">
            <v>40568</v>
          </cell>
          <cell r="D1540">
            <v>3032.78</v>
          </cell>
          <cell r="E1540" t="str">
            <v>Mallas</v>
          </cell>
        </row>
        <row r="1541">
          <cell r="A1541">
            <v>1000017639</v>
          </cell>
          <cell r="B1541">
            <v>40571</v>
          </cell>
          <cell r="D1541">
            <v>959.48</v>
          </cell>
          <cell r="E1541" t="str">
            <v>Mallas</v>
          </cell>
        </row>
        <row r="1542">
          <cell r="A1542">
            <v>1000017674</v>
          </cell>
          <cell r="B1542">
            <v>40572</v>
          </cell>
          <cell r="D1542">
            <v>926.23</v>
          </cell>
          <cell r="E1542" t="str">
            <v>Mallas</v>
          </cell>
        </row>
        <row r="1543">
          <cell r="A1543">
            <v>1000017676</v>
          </cell>
          <cell r="B1543">
            <v>40572</v>
          </cell>
          <cell r="D1543">
            <v>1442.83</v>
          </cell>
          <cell r="E1543" t="str">
            <v>Mallas</v>
          </cell>
        </row>
        <row r="1544">
          <cell r="A1544">
            <v>1000017677</v>
          </cell>
          <cell r="B1544">
            <v>40572</v>
          </cell>
          <cell r="D1544">
            <v>976.48</v>
          </cell>
          <cell r="E1544" t="str">
            <v>Mallas</v>
          </cell>
        </row>
        <row r="1545">
          <cell r="A1545">
            <v>1000017701</v>
          </cell>
          <cell r="B1545">
            <v>40574</v>
          </cell>
          <cell r="D1545">
            <v>11.84</v>
          </cell>
          <cell r="E1545" t="str">
            <v>Materia Prima</v>
          </cell>
        </row>
        <row r="1546">
          <cell r="A1546">
            <v>1000017701</v>
          </cell>
          <cell r="B1546">
            <v>40574</v>
          </cell>
          <cell r="D1546">
            <v>14.992000000000001</v>
          </cell>
          <cell r="E1546" t="str">
            <v>Materia Prima</v>
          </cell>
        </row>
        <row r="1547">
          <cell r="A1547">
            <v>1000017701</v>
          </cell>
          <cell r="B1547">
            <v>40574</v>
          </cell>
          <cell r="D1547">
            <v>18.510000000000002</v>
          </cell>
          <cell r="E1547" t="str">
            <v>Materia Prima</v>
          </cell>
        </row>
        <row r="1548">
          <cell r="A1548">
            <v>1000017701</v>
          </cell>
          <cell r="B1548">
            <v>40574</v>
          </cell>
          <cell r="D1548">
            <v>1755.6</v>
          </cell>
          <cell r="E1548" t="str">
            <v>Mallas</v>
          </cell>
        </row>
        <row r="1549">
          <cell r="A1549">
            <v>1000017701</v>
          </cell>
          <cell r="B1549">
            <v>40574</v>
          </cell>
          <cell r="D1549">
            <v>253.08</v>
          </cell>
          <cell r="E1549" t="str">
            <v>Mallas</v>
          </cell>
        </row>
        <row r="1550">
          <cell r="A1550">
            <v>1000017702</v>
          </cell>
          <cell r="B1550">
            <v>40574</v>
          </cell>
          <cell r="D1550">
            <v>13.8825</v>
          </cell>
          <cell r="E1550" t="str">
            <v>Materia Prima</v>
          </cell>
        </row>
        <row r="1551">
          <cell r="A1551">
            <v>1000017703</v>
          </cell>
          <cell r="B1551">
            <v>40574</v>
          </cell>
          <cell r="D1551">
            <v>11.84</v>
          </cell>
          <cell r="E1551" t="str">
            <v>Materia Prima</v>
          </cell>
        </row>
        <row r="1552">
          <cell r="A1552">
            <v>1000017703</v>
          </cell>
          <cell r="B1552">
            <v>40574</v>
          </cell>
          <cell r="D1552">
            <v>14.992000000000001</v>
          </cell>
          <cell r="E1552" t="str">
            <v>Materia Prima</v>
          </cell>
        </row>
        <row r="1553">
          <cell r="A1553">
            <v>1000017703</v>
          </cell>
          <cell r="B1553">
            <v>40574</v>
          </cell>
          <cell r="D1553">
            <v>18.510000000000002</v>
          </cell>
          <cell r="E1553" t="str">
            <v>Materia Prima</v>
          </cell>
        </row>
        <row r="1554">
          <cell r="A1554">
            <v>1000017703</v>
          </cell>
          <cell r="B1554">
            <v>40574</v>
          </cell>
          <cell r="D1554">
            <v>1755.6</v>
          </cell>
          <cell r="E1554" t="str">
            <v>Mallas</v>
          </cell>
        </row>
        <row r="1555">
          <cell r="A1555">
            <v>1000017703</v>
          </cell>
          <cell r="B1555">
            <v>40574</v>
          </cell>
          <cell r="D1555">
            <v>253.08</v>
          </cell>
          <cell r="E1555" t="str">
            <v>Mallas</v>
          </cell>
        </row>
        <row r="1556">
          <cell r="A1556">
            <v>1000017706</v>
          </cell>
          <cell r="B1556">
            <v>40574</v>
          </cell>
          <cell r="D1556">
            <v>7420</v>
          </cell>
          <cell r="E1556" t="str">
            <v>Mallas</v>
          </cell>
        </row>
        <row r="1557">
          <cell r="A1557">
            <v>1000017723</v>
          </cell>
          <cell r="B1557">
            <v>40574</v>
          </cell>
          <cell r="D1557">
            <v>2100.17</v>
          </cell>
          <cell r="E1557" t="str">
            <v>Mallas</v>
          </cell>
        </row>
        <row r="1558">
          <cell r="A1558">
            <v>1000017724</v>
          </cell>
          <cell r="B1558">
            <v>40574</v>
          </cell>
          <cell r="D1558">
            <v>2906.77</v>
          </cell>
          <cell r="E1558" t="str">
            <v>Mallas</v>
          </cell>
        </row>
        <row r="1559">
          <cell r="A1559">
            <v>1000017725</v>
          </cell>
          <cell r="B1559">
            <v>40574</v>
          </cell>
          <cell r="D1559">
            <v>155</v>
          </cell>
          <cell r="E1559" t="str">
            <v>Materia Prima</v>
          </cell>
        </row>
        <row r="1560">
          <cell r="A1560">
            <v>1000017725</v>
          </cell>
          <cell r="B1560">
            <v>40574</v>
          </cell>
          <cell r="D1560">
            <v>973.75</v>
          </cell>
          <cell r="E1560" t="str">
            <v>Mallas</v>
          </cell>
        </row>
        <row r="1561">
          <cell r="A1561">
            <v>1000017785</v>
          </cell>
          <cell r="B1561">
            <v>40574</v>
          </cell>
          <cell r="D1561">
            <v>35160</v>
          </cell>
          <cell r="E1561" t="str">
            <v>Materia Prima</v>
          </cell>
        </row>
        <row r="1562">
          <cell r="A1562">
            <v>1000017360</v>
          </cell>
          <cell r="B1562">
            <v>40562</v>
          </cell>
          <cell r="D1562">
            <v>7524</v>
          </cell>
          <cell r="E1562" t="str">
            <v>Mallas</v>
          </cell>
        </row>
        <row r="1563">
          <cell r="A1563">
            <v>1000017367</v>
          </cell>
          <cell r="B1563">
            <v>40563</v>
          </cell>
          <cell r="D1563">
            <v>29.007999999999999</v>
          </cell>
          <cell r="E1563" t="str">
            <v>Materia Prima</v>
          </cell>
        </row>
        <row r="1564">
          <cell r="A1564">
            <v>1000017367</v>
          </cell>
          <cell r="B1564">
            <v>40563</v>
          </cell>
          <cell r="D1564">
            <v>172.40799999999999</v>
          </cell>
          <cell r="E1564" t="str">
            <v>Materia Prima</v>
          </cell>
        </row>
        <row r="1565">
          <cell r="A1565">
            <v>1000017498</v>
          </cell>
          <cell r="B1565">
            <v>40568</v>
          </cell>
          <cell r="D1565">
            <v>616.20000000000005</v>
          </cell>
          <cell r="E1565" t="str">
            <v>Figurado</v>
          </cell>
        </row>
        <row r="1566">
          <cell r="A1566">
            <v>1000017498</v>
          </cell>
          <cell r="B1566">
            <v>40568</v>
          </cell>
          <cell r="D1566">
            <v>566.70000000000005</v>
          </cell>
          <cell r="E1566" t="str">
            <v>Figurado</v>
          </cell>
        </row>
        <row r="1567">
          <cell r="A1567">
            <v>1000017704</v>
          </cell>
          <cell r="B1567">
            <v>40574</v>
          </cell>
          <cell r="D1567">
            <v>1222.6400000000001</v>
          </cell>
          <cell r="E1567" t="str">
            <v>Mallas</v>
          </cell>
        </row>
        <row r="1568">
          <cell r="A1568">
            <v>1000017708</v>
          </cell>
          <cell r="B1568">
            <v>40574</v>
          </cell>
          <cell r="D1568">
            <v>150</v>
          </cell>
          <cell r="E1568" t="str">
            <v>Materia Prima</v>
          </cell>
        </row>
        <row r="1569">
          <cell r="A1569">
            <v>1000017726</v>
          </cell>
          <cell r="B1569">
            <v>40574</v>
          </cell>
          <cell r="D1569">
            <v>197.6</v>
          </cell>
          <cell r="E1569" t="str">
            <v>Mallas</v>
          </cell>
        </row>
        <row r="1570">
          <cell r="A1570">
            <v>1000017727</v>
          </cell>
          <cell r="B1570">
            <v>40574</v>
          </cell>
          <cell r="D1570">
            <v>1827.8</v>
          </cell>
          <cell r="E1570" t="str">
            <v>Mallas</v>
          </cell>
        </row>
        <row r="1571">
          <cell r="A1571">
            <v>1000017728</v>
          </cell>
          <cell r="B1571">
            <v>40574</v>
          </cell>
          <cell r="D1571">
            <v>1827.8</v>
          </cell>
          <cell r="E1571" t="str">
            <v>Mallas</v>
          </cell>
        </row>
        <row r="1572">
          <cell r="A1572">
            <v>1000017729</v>
          </cell>
          <cell r="B1572">
            <v>40574</v>
          </cell>
          <cell r="D1572">
            <v>1729</v>
          </cell>
          <cell r="E1572" t="str">
            <v>Mallas</v>
          </cell>
        </row>
        <row r="1573">
          <cell r="A1573">
            <v>1000017730</v>
          </cell>
          <cell r="B1573">
            <v>40574</v>
          </cell>
          <cell r="D1573">
            <v>1827.8</v>
          </cell>
          <cell r="E1573" t="str">
            <v>Mallas</v>
          </cell>
        </row>
        <row r="1574">
          <cell r="A1574">
            <v>1000017731</v>
          </cell>
          <cell r="B1574">
            <v>40574</v>
          </cell>
          <cell r="D1574">
            <v>1827.8</v>
          </cell>
          <cell r="E1574" t="str">
            <v>Mallas</v>
          </cell>
        </row>
        <row r="1575">
          <cell r="A1575">
            <v>1000017739</v>
          </cell>
          <cell r="B1575">
            <v>40575</v>
          </cell>
          <cell r="D1575">
            <v>4668.6000000000004</v>
          </cell>
          <cell r="E1575" t="str">
            <v>Figurado</v>
          </cell>
        </row>
        <row r="1576">
          <cell r="A1576">
            <v>1000017754</v>
          </cell>
          <cell r="B1576">
            <v>40576</v>
          </cell>
          <cell r="D1576">
            <v>188</v>
          </cell>
          <cell r="E1576" t="str">
            <v>Materia Prima</v>
          </cell>
        </row>
        <row r="1577">
          <cell r="A1577">
            <v>1000017755</v>
          </cell>
          <cell r="B1577">
            <v>40576</v>
          </cell>
          <cell r="D1577">
            <v>3787.08</v>
          </cell>
          <cell r="E1577" t="str">
            <v>Mallas</v>
          </cell>
        </row>
        <row r="1578">
          <cell r="A1578">
            <v>1000017756</v>
          </cell>
          <cell r="B1578">
            <v>40576</v>
          </cell>
          <cell r="D1578">
            <v>3787.08</v>
          </cell>
          <cell r="E1578" t="str">
            <v>Mallas</v>
          </cell>
        </row>
        <row r="1579">
          <cell r="A1579">
            <v>1000017757</v>
          </cell>
          <cell r="B1579">
            <v>40576</v>
          </cell>
          <cell r="D1579">
            <v>3787.08</v>
          </cell>
          <cell r="E1579" t="str">
            <v>Mallas</v>
          </cell>
        </row>
        <row r="1580">
          <cell r="A1580">
            <v>1000017758</v>
          </cell>
          <cell r="B1580">
            <v>40576</v>
          </cell>
          <cell r="D1580">
            <v>379.5</v>
          </cell>
          <cell r="E1580" t="str">
            <v>Mallas</v>
          </cell>
        </row>
        <row r="1581">
          <cell r="A1581">
            <v>1000017758</v>
          </cell>
          <cell r="B1581">
            <v>40576</v>
          </cell>
          <cell r="D1581">
            <v>1128.5999999999999</v>
          </cell>
          <cell r="E1581" t="str">
            <v>Mallas</v>
          </cell>
        </row>
        <row r="1582">
          <cell r="A1582">
            <v>1000017759</v>
          </cell>
          <cell r="B1582">
            <v>40576</v>
          </cell>
          <cell r="D1582">
            <v>690</v>
          </cell>
          <cell r="E1582" t="str">
            <v>Mallas</v>
          </cell>
        </row>
        <row r="1583">
          <cell r="A1583">
            <v>1000017759</v>
          </cell>
          <cell r="B1583">
            <v>40576</v>
          </cell>
          <cell r="D1583">
            <v>1128.5999999999999</v>
          </cell>
          <cell r="E1583" t="str">
            <v>Mallas</v>
          </cell>
        </row>
        <row r="1584">
          <cell r="A1584">
            <v>1000017760</v>
          </cell>
          <cell r="B1584">
            <v>40576</v>
          </cell>
          <cell r="D1584">
            <v>3435</v>
          </cell>
          <cell r="E1584" t="str">
            <v>Mallas</v>
          </cell>
        </row>
        <row r="1585">
          <cell r="A1585">
            <v>1000017761</v>
          </cell>
          <cell r="B1585">
            <v>40576</v>
          </cell>
          <cell r="D1585">
            <v>672.98</v>
          </cell>
          <cell r="E1585" t="str">
            <v>Mallas</v>
          </cell>
        </row>
        <row r="1586">
          <cell r="A1586">
            <v>1000017761</v>
          </cell>
          <cell r="B1586">
            <v>40576</v>
          </cell>
          <cell r="D1586">
            <v>817.19</v>
          </cell>
          <cell r="E1586" t="str">
            <v>Mallas</v>
          </cell>
        </row>
        <row r="1587">
          <cell r="A1587">
            <v>1000017761</v>
          </cell>
          <cell r="B1587">
            <v>40576</v>
          </cell>
          <cell r="D1587">
            <v>970.14</v>
          </cell>
          <cell r="E1587" t="str">
            <v>Mallas</v>
          </cell>
        </row>
        <row r="1588">
          <cell r="A1588">
            <v>1000017762</v>
          </cell>
          <cell r="B1588">
            <v>40576</v>
          </cell>
          <cell r="D1588">
            <v>121</v>
          </cell>
          <cell r="E1588" t="str">
            <v>Materia Prima</v>
          </cell>
        </row>
        <row r="1589">
          <cell r="A1589">
            <v>1000017762</v>
          </cell>
          <cell r="B1589">
            <v>40576</v>
          </cell>
          <cell r="D1589">
            <v>380</v>
          </cell>
          <cell r="E1589" t="str">
            <v>Figurado</v>
          </cell>
        </row>
        <row r="1590">
          <cell r="A1590">
            <v>1000017762</v>
          </cell>
          <cell r="B1590">
            <v>40576</v>
          </cell>
          <cell r="D1590">
            <v>1085.2</v>
          </cell>
          <cell r="E1590" t="str">
            <v>Figurado</v>
          </cell>
        </row>
        <row r="1591">
          <cell r="A1591">
            <v>1000017762</v>
          </cell>
          <cell r="B1591">
            <v>40576</v>
          </cell>
          <cell r="D1591">
            <v>1944.6</v>
          </cell>
          <cell r="E1591" t="str">
            <v>Figurado</v>
          </cell>
        </row>
        <row r="1592">
          <cell r="A1592">
            <v>1000017762</v>
          </cell>
          <cell r="B1592">
            <v>40576</v>
          </cell>
          <cell r="D1592">
            <v>533.1</v>
          </cell>
          <cell r="E1592" t="str">
            <v>Figurado</v>
          </cell>
        </row>
        <row r="1593">
          <cell r="A1593">
            <v>1000017762</v>
          </cell>
          <cell r="B1593">
            <v>40576</v>
          </cell>
          <cell r="D1593">
            <v>480.6</v>
          </cell>
          <cell r="E1593" t="str">
            <v>Figurado</v>
          </cell>
        </row>
        <row r="1594">
          <cell r="A1594">
            <v>1000017762</v>
          </cell>
          <cell r="B1594">
            <v>40576</v>
          </cell>
          <cell r="D1594">
            <v>119</v>
          </cell>
          <cell r="E1594" t="str">
            <v>Figurado</v>
          </cell>
        </row>
        <row r="1595">
          <cell r="A1595">
            <v>1000017762</v>
          </cell>
          <cell r="B1595">
            <v>40576</v>
          </cell>
          <cell r="D1595">
            <v>678.4</v>
          </cell>
          <cell r="E1595" t="str">
            <v>Figurado</v>
          </cell>
        </row>
        <row r="1596">
          <cell r="A1596">
            <v>1000017763</v>
          </cell>
          <cell r="B1596">
            <v>40576</v>
          </cell>
          <cell r="D1596">
            <v>101</v>
          </cell>
          <cell r="E1596" t="str">
            <v>Materia Prima</v>
          </cell>
        </row>
        <row r="1597">
          <cell r="A1597">
            <v>1000017763</v>
          </cell>
          <cell r="B1597">
            <v>40576</v>
          </cell>
          <cell r="D1597">
            <v>714.78</v>
          </cell>
          <cell r="E1597" t="str">
            <v>Mallas</v>
          </cell>
        </row>
        <row r="1598">
          <cell r="A1598">
            <v>1000017764</v>
          </cell>
          <cell r="B1598">
            <v>40576</v>
          </cell>
          <cell r="D1598">
            <v>1729.38</v>
          </cell>
          <cell r="E1598" t="str">
            <v>Mallas</v>
          </cell>
        </row>
        <row r="1599">
          <cell r="A1599">
            <v>1000017765</v>
          </cell>
          <cell r="B1599">
            <v>40576</v>
          </cell>
          <cell r="D1599">
            <v>21.3</v>
          </cell>
          <cell r="E1599" t="str">
            <v>Figurado</v>
          </cell>
        </row>
        <row r="1600">
          <cell r="A1600">
            <v>1000017765</v>
          </cell>
          <cell r="B1600">
            <v>40576</v>
          </cell>
          <cell r="D1600">
            <v>1295.4000000000001</v>
          </cell>
          <cell r="E1600" t="str">
            <v>Figurado</v>
          </cell>
        </row>
        <row r="1601">
          <cell r="A1601">
            <v>1000017765</v>
          </cell>
          <cell r="B1601">
            <v>40576</v>
          </cell>
          <cell r="D1601">
            <v>648.6</v>
          </cell>
          <cell r="E1601" t="str">
            <v>Figurado</v>
          </cell>
        </row>
        <row r="1602">
          <cell r="A1602">
            <v>1000017765</v>
          </cell>
          <cell r="B1602">
            <v>40576</v>
          </cell>
          <cell r="D1602">
            <v>404.7</v>
          </cell>
          <cell r="E1602" t="str">
            <v>Figurado</v>
          </cell>
        </row>
        <row r="1603">
          <cell r="A1603">
            <v>1000017766</v>
          </cell>
          <cell r="B1603">
            <v>40576</v>
          </cell>
          <cell r="D1603">
            <v>255.4</v>
          </cell>
          <cell r="E1603" t="str">
            <v>Figurado</v>
          </cell>
        </row>
        <row r="1604">
          <cell r="A1604">
            <v>1000017766</v>
          </cell>
          <cell r="B1604">
            <v>40576</v>
          </cell>
          <cell r="D1604">
            <v>1968</v>
          </cell>
          <cell r="E1604" t="str">
            <v>Figurado</v>
          </cell>
        </row>
        <row r="1605">
          <cell r="A1605">
            <v>1000017769</v>
          </cell>
          <cell r="B1605">
            <v>40576</v>
          </cell>
          <cell r="D1605">
            <v>1000</v>
          </cell>
          <cell r="E1605" t="str">
            <v>Materia Prima</v>
          </cell>
        </row>
        <row r="1606">
          <cell r="A1606">
            <v>1000017770</v>
          </cell>
          <cell r="B1606">
            <v>40576</v>
          </cell>
          <cell r="D1606">
            <v>1000</v>
          </cell>
          <cell r="E1606" t="str">
            <v>Materia Prima</v>
          </cell>
        </row>
        <row r="1607">
          <cell r="A1607">
            <v>1000017773</v>
          </cell>
          <cell r="B1607">
            <v>40576</v>
          </cell>
          <cell r="D1607">
            <v>712.8</v>
          </cell>
          <cell r="E1607" t="str">
            <v>Materia Prima</v>
          </cell>
        </row>
        <row r="1608">
          <cell r="A1608">
            <v>1000017774</v>
          </cell>
          <cell r="B1608">
            <v>40576</v>
          </cell>
          <cell r="D1608">
            <v>337.44</v>
          </cell>
          <cell r="E1608" t="str">
            <v>Mallas</v>
          </cell>
        </row>
        <row r="1609">
          <cell r="A1609">
            <v>1000017775</v>
          </cell>
          <cell r="B1609">
            <v>40576</v>
          </cell>
          <cell r="D1609">
            <v>1096.68</v>
          </cell>
          <cell r="E1609" t="str">
            <v>Mallas</v>
          </cell>
        </row>
        <row r="1610">
          <cell r="A1610">
            <v>1000017776</v>
          </cell>
          <cell r="B1610">
            <v>40576</v>
          </cell>
          <cell r="D1610">
            <v>494</v>
          </cell>
          <cell r="E1610" t="str">
            <v>Mallas</v>
          </cell>
        </row>
        <row r="1611">
          <cell r="A1611">
            <v>1000017777</v>
          </cell>
          <cell r="B1611">
            <v>40576</v>
          </cell>
          <cell r="D1611">
            <v>206</v>
          </cell>
          <cell r="E1611" t="str">
            <v>Materia Prima</v>
          </cell>
        </row>
        <row r="1612">
          <cell r="A1612">
            <v>1000017779</v>
          </cell>
          <cell r="B1612">
            <v>40576</v>
          </cell>
          <cell r="D1612">
            <v>630.70000000000005</v>
          </cell>
          <cell r="E1612" t="str">
            <v>Materia Prima</v>
          </cell>
        </row>
        <row r="1613">
          <cell r="A1613">
            <v>1000017781</v>
          </cell>
          <cell r="B1613">
            <v>40576</v>
          </cell>
          <cell r="D1613">
            <v>11947.1</v>
          </cell>
          <cell r="E1613" t="str">
            <v>Figurado</v>
          </cell>
        </row>
        <row r="1614">
          <cell r="A1614">
            <v>1000017784</v>
          </cell>
          <cell r="B1614">
            <v>40576</v>
          </cell>
          <cell r="D1614">
            <v>6264</v>
          </cell>
          <cell r="E1614" t="str">
            <v>Mallas</v>
          </cell>
        </row>
        <row r="1615">
          <cell r="A1615">
            <v>1000017786</v>
          </cell>
          <cell r="B1615">
            <v>40576</v>
          </cell>
          <cell r="D1615">
            <v>506.9</v>
          </cell>
          <cell r="E1615" t="str">
            <v>Figurado</v>
          </cell>
        </row>
        <row r="1616">
          <cell r="A1616">
            <v>1000017790</v>
          </cell>
          <cell r="B1616">
            <v>40576</v>
          </cell>
          <cell r="D1616">
            <v>900</v>
          </cell>
          <cell r="E1616" t="str">
            <v>Materia Prima</v>
          </cell>
        </row>
        <row r="1617">
          <cell r="A1617">
            <v>1000017791</v>
          </cell>
          <cell r="B1617">
            <v>40576</v>
          </cell>
          <cell r="D1617">
            <v>19.399999999999999</v>
          </cell>
          <cell r="E1617" t="str">
            <v>Figurado</v>
          </cell>
        </row>
        <row r="1618">
          <cell r="A1618">
            <v>1000017791</v>
          </cell>
          <cell r="B1618">
            <v>40576</v>
          </cell>
          <cell r="D1618">
            <v>1245.0999999999999</v>
          </cell>
          <cell r="E1618" t="str">
            <v>Figurado</v>
          </cell>
        </row>
        <row r="1619">
          <cell r="A1619">
            <v>1000017791</v>
          </cell>
          <cell r="B1619">
            <v>40576</v>
          </cell>
          <cell r="D1619">
            <v>247.1</v>
          </cell>
          <cell r="E1619" t="str">
            <v>Figurado</v>
          </cell>
        </row>
        <row r="1620">
          <cell r="A1620">
            <v>1000017791</v>
          </cell>
          <cell r="B1620">
            <v>40576</v>
          </cell>
          <cell r="D1620">
            <v>1301.8</v>
          </cell>
          <cell r="E1620" t="str">
            <v>Figurado</v>
          </cell>
        </row>
        <row r="1621">
          <cell r="A1621">
            <v>1000017791</v>
          </cell>
          <cell r="B1621">
            <v>40576</v>
          </cell>
          <cell r="D1621">
            <v>832.3</v>
          </cell>
          <cell r="E1621" t="str">
            <v>Figurado</v>
          </cell>
        </row>
        <row r="1622">
          <cell r="A1622">
            <v>1000017791</v>
          </cell>
          <cell r="B1622">
            <v>40576</v>
          </cell>
          <cell r="D1622">
            <v>979.5</v>
          </cell>
          <cell r="E1622" t="str">
            <v>Figurado</v>
          </cell>
        </row>
        <row r="1623">
          <cell r="A1623">
            <v>1000017791</v>
          </cell>
          <cell r="B1623">
            <v>40576</v>
          </cell>
          <cell r="D1623">
            <v>69.599999999999994</v>
          </cell>
          <cell r="E1623" t="str">
            <v>Figurado</v>
          </cell>
        </row>
        <row r="1624">
          <cell r="A1624">
            <v>1000017792</v>
          </cell>
          <cell r="B1624">
            <v>40576</v>
          </cell>
          <cell r="D1624">
            <v>648.1</v>
          </cell>
          <cell r="E1624" t="str">
            <v>Figurado</v>
          </cell>
        </row>
        <row r="1625">
          <cell r="A1625">
            <v>1000017792</v>
          </cell>
          <cell r="B1625">
            <v>40576</v>
          </cell>
          <cell r="D1625">
            <v>371.8</v>
          </cell>
          <cell r="E1625" t="str">
            <v>Figurado</v>
          </cell>
        </row>
        <row r="1626">
          <cell r="A1626">
            <v>1000017792</v>
          </cell>
          <cell r="B1626">
            <v>40576</v>
          </cell>
          <cell r="D1626">
            <v>611.4</v>
          </cell>
          <cell r="E1626" t="str">
            <v>Figurado</v>
          </cell>
        </row>
        <row r="1627">
          <cell r="A1627">
            <v>1000017792</v>
          </cell>
          <cell r="B1627">
            <v>40576</v>
          </cell>
          <cell r="D1627">
            <v>646.4</v>
          </cell>
          <cell r="E1627" t="str">
            <v>Figurado</v>
          </cell>
        </row>
        <row r="1628">
          <cell r="A1628">
            <v>1000017792</v>
          </cell>
          <cell r="B1628">
            <v>40576</v>
          </cell>
          <cell r="D1628">
            <v>283.39999999999998</v>
          </cell>
          <cell r="E1628" t="str">
            <v>Figurado</v>
          </cell>
        </row>
        <row r="1629">
          <cell r="A1629">
            <v>1000017793</v>
          </cell>
          <cell r="B1629">
            <v>40576</v>
          </cell>
          <cell r="D1629">
            <v>598.29999999999995</v>
          </cell>
          <cell r="E1629" t="str">
            <v>Figurado</v>
          </cell>
        </row>
        <row r="1630">
          <cell r="A1630">
            <v>1000017793</v>
          </cell>
          <cell r="B1630">
            <v>40576</v>
          </cell>
          <cell r="D1630">
            <v>98.6</v>
          </cell>
          <cell r="E1630" t="str">
            <v>Figurado</v>
          </cell>
        </row>
        <row r="1631">
          <cell r="A1631">
            <v>1000017793</v>
          </cell>
          <cell r="B1631">
            <v>40576</v>
          </cell>
          <cell r="D1631">
            <v>221.4</v>
          </cell>
          <cell r="E1631" t="str">
            <v>Figurado</v>
          </cell>
        </row>
        <row r="1632">
          <cell r="A1632">
            <v>1000017793</v>
          </cell>
          <cell r="B1632">
            <v>40576</v>
          </cell>
          <cell r="D1632">
            <v>203.2</v>
          </cell>
          <cell r="E1632" t="str">
            <v>Figurado</v>
          </cell>
        </row>
        <row r="1633">
          <cell r="A1633">
            <v>1000017793</v>
          </cell>
          <cell r="B1633">
            <v>40576</v>
          </cell>
          <cell r="D1633">
            <v>1118</v>
          </cell>
          <cell r="E1633" t="str">
            <v>Figurado</v>
          </cell>
        </row>
        <row r="1634">
          <cell r="A1634">
            <v>1000017794</v>
          </cell>
          <cell r="B1634">
            <v>40576</v>
          </cell>
          <cell r="D1634">
            <v>1794</v>
          </cell>
          <cell r="E1634" t="str">
            <v>Figurado</v>
          </cell>
        </row>
        <row r="1635">
          <cell r="A1635">
            <v>1000017804</v>
          </cell>
          <cell r="B1635">
            <v>40576</v>
          </cell>
          <cell r="D1635">
            <v>48</v>
          </cell>
          <cell r="E1635" t="str">
            <v>Materia Prima</v>
          </cell>
        </row>
        <row r="1636">
          <cell r="A1636">
            <v>1000017804</v>
          </cell>
          <cell r="B1636">
            <v>40576</v>
          </cell>
          <cell r="D1636">
            <v>588.4</v>
          </cell>
          <cell r="E1636" t="str">
            <v>Figurado</v>
          </cell>
        </row>
        <row r="1637">
          <cell r="A1637">
            <v>1000017804</v>
          </cell>
          <cell r="B1637">
            <v>40576</v>
          </cell>
          <cell r="D1637">
            <v>760</v>
          </cell>
          <cell r="E1637" t="str">
            <v>Figurado</v>
          </cell>
        </row>
        <row r="1638">
          <cell r="A1638">
            <v>1000017804</v>
          </cell>
          <cell r="B1638">
            <v>40576</v>
          </cell>
          <cell r="D1638">
            <v>621.70000000000005</v>
          </cell>
          <cell r="E1638" t="str">
            <v>Figurado</v>
          </cell>
        </row>
        <row r="1639">
          <cell r="A1639">
            <v>1000017804</v>
          </cell>
          <cell r="B1639">
            <v>40576</v>
          </cell>
          <cell r="D1639">
            <v>108</v>
          </cell>
          <cell r="E1639" t="str">
            <v>Figurado</v>
          </cell>
        </row>
        <row r="1640">
          <cell r="A1640">
            <v>1000017804</v>
          </cell>
          <cell r="B1640">
            <v>40576</v>
          </cell>
          <cell r="D1640">
            <v>91.8</v>
          </cell>
          <cell r="E1640" t="str">
            <v>Figurado</v>
          </cell>
        </row>
        <row r="1641">
          <cell r="A1641">
            <v>1000017808</v>
          </cell>
          <cell r="B1641">
            <v>40577</v>
          </cell>
          <cell r="D1641">
            <v>450</v>
          </cell>
          <cell r="E1641" t="str">
            <v>Materia Prima</v>
          </cell>
        </row>
        <row r="1642">
          <cell r="A1642">
            <v>1000017809</v>
          </cell>
          <cell r="B1642">
            <v>40577</v>
          </cell>
          <cell r="D1642">
            <v>5208.47</v>
          </cell>
          <cell r="E1642" t="str">
            <v>Mallas</v>
          </cell>
        </row>
        <row r="1643">
          <cell r="A1643">
            <v>1000017810</v>
          </cell>
          <cell r="B1643">
            <v>40577</v>
          </cell>
          <cell r="D1643">
            <v>84.6</v>
          </cell>
          <cell r="E1643" t="str">
            <v>Mallas</v>
          </cell>
        </row>
        <row r="1644">
          <cell r="A1644">
            <v>1000017811</v>
          </cell>
          <cell r="B1644">
            <v>40577</v>
          </cell>
          <cell r="D1644">
            <v>1491.88</v>
          </cell>
          <cell r="E1644" t="str">
            <v>Mallas</v>
          </cell>
        </row>
        <row r="1645">
          <cell r="A1645">
            <v>1000017811</v>
          </cell>
          <cell r="B1645">
            <v>40577</v>
          </cell>
          <cell r="D1645">
            <v>100</v>
          </cell>
          <cell r="E1645" t="str">
            <v>Materia Prima</v>
          </cell>
        </row>
        <row r="1646">
          <cell r="A1646">
            <v>1000017812</v>
          </cell>
          <cell r="B1646">
            <v>40577</v>
          </cell>
          <cell r="D1646">
            <v>1086.8</v>
          </cell>
          <cell r="E1646" t="str">
            <v>Mallas</v>
          </cell>
        </row>
        <row r="1647">
          <cell r="A1647">
            <v>1000017814</v>
          </cell>
          <cell r="B1647">
            <v>40577</v>
          </cell>
          <cell r="D1647">
            <v>100.8</v>
          </cell>
          <cell r="E1647" t="str">
            <v>Materia Prima</v>
          </cell>
        </row>
        <row r="1648">
          <cell r="A1648">
            <v>1000017814</v>
          </cell>
          <cell r="B1648">
            <v>40577</v>
          </cell>
          <cell r="D1648">
            <v>333.2</v>
          </cell>
          <cell r="E1648" t="str">
            <v>Figurado</v>
          </cell>
        </row>
        <row r="1649">
          <cell r="A1649">
            <v>1000017814</v>
          </cell>
          <cell r="B1649">
            <v>40577</v>
          </cell>
          <cell r="D1649">
            <v>1546</v>
          </cell>
          <cell r="E1649" t="str">
            <v>Figurado</v>
          </cell>
        </row>
        <row r="1650">
          <cell r="A1650">
            <v>1000017814</v>
          </cell>
          <cell r="B1650">
            <v>40577</v>
          </cell>
          <cell r="D1650">
            <v>79.599999999999994</v>
          </cell>
          <cell r="E1650" t="str">
            <v>Figurado</v>
          </cell>
        </row>
        <row r="1651">
          <cell r="A1651">
            <v>1000017824</v>
          </cell>
          <cell r="B1651">
            <v>40577</v>
          </cell>
          <cell r="D1651">
            <v>615.29999999999995</v>
          </cell>
          <cell r="E1651" t="str">
            <v>Mallas</v>
          </cell>
        </row>
        <row r="1652">
          <cell r="A1652">
            <v>1000017825</v>
          </cell>
          <cell r="B1652">
            <v>40577</v>
          </cell>
          <cell r="D1652">
            <v>103</v>
          </cell>
          <cell r="E1652" t="str">
            <v>Materia Prima</v>
          </cell>
        </row>
        <row r="1653">
          <cell r="A1653">
            <v>1000017833</v>
          </cell>
          <cell r="B1653">
            <v>40577</v>
          </cell>
          <cell r="D1653">
            <v>313.32</v>
          </cell>
          <cell r="E1653" t="str">
            <v>Materia Prima</v>
          </cell>
        </row>
        <row r="1654">
          <cell r="A1654">
            <v>1000017834</v>
          </cell>
          <cell r="B1654">
            <v>40577</v>
          </cell>
          <cell r="D1654">
            <v>467</v>
          </cell>
          <cell r="E1654" t="str">
            <v>Mallas</v>
          </cell>
        </row>
        <row r="1655">
          <cell r="A1655">
            <v>1000017835</v>
          </cell>
          <cell r="B1655">
            <v>40577</v>
          </cell>
          <cell r="D1655">
            <v>4938.66</v>
          </cell>
          <cell r="E1655" t="str">
            <v>Mallas</v>
          </cell>
        </row>
        <row r="1656">
          <cell r="A1656">
            <v>1000017836</v>
          </cell>
          <cell r="B1656">
            <v>40577</v>
          </cell>
          <cell r="D1656">
            <v>846</v>
          </cell>
          <cell r="E1656" t="str">
            <v>Mallas</v>
          </cell>
        </row>
        <row r="1657">
          <cell r="A1657">
            <v>1000017837</v>
          </cell>
          <cell r="B1657">
            <v>40577</v>
          </cell>
          <cell r="D1657">
            <v>2235.54</v>
          </cell>
          <cell r="E1657" t="str">
            <v>Mallas</v>
          </cell>
        </row>
        <row r="1658">
          <cell r="A1658">
            <v>1000017838</v>
          </cell>
          <cell r="B1658">
            <v>40577</v>
          </cell>
          <cell r="D1658">
            <v>229.52</v>
          </cell>
          <cell r="E1658" t="str">
            <v>Mallas</v>
          </cell>
        </row>
        <row r="1659">
          <cell r="A1659">
            <v>1000017839</v>
          </cell>
          <cell r="B1659">
            <v>40577</v>
          </cell>
          <cell r="D1659">
            <v>1000</v>
          </cell>
          <cell r="E1659" t="str">
            <v>Materia Prima</v>
          </cell>
        </row>
        <row r="1660">
          <cell r="A1660">
            <v>1000017840</v>
          </cell>
          <cell r="B1660">
            <v>40577</v>
          </cell>
          <cell r="D1660">
            <v>1755.6</v>
          </cell>
          <cell r="E1660" t="str">
            <v>Mallas</v>
          </cell>
        </row>
        <row r="1661">
          <cell r="A1661">
            <v>1000017840</v>
          </cell>
          <cell r="B1661">
            <v>40577</v>
          </cell>
          <cell r="D1661">
            <v>253.08</v>
          </cell>
          <cell r="E1661" t="str">
            <v>Mallas</v>
          </cell>
        </row>
        <row r="1662">
          <cell r="A1662">
            <v>1000017841</v>
          </cell>
          <cell r="B1662">
            <v>40577</v>
          </cell>
          <cell r="D1662">
            <v>13.8825</v>
          </cell>
          <cell r="E1662" t="str">
            <v>Materia Prima</v>
          </cell>
        </row>
        <row r="1663">
          <cell r="A1663">
            <v>1000017842</v>
          </cell>
          <cell r="B1663">
            <v>40577</v>
          </cell>
          <cell r="D1663">
            <v>23.137499999999999</v>
          </cell>
          <cell r="E1663" t="str">
            <v>Materia Prima</v>
          </cell>
        </row>
        <row r="1664">
          <cell r="A1664">
            <v>1000017843</v>
          </cell>
          <cell r="B1664">
            <v>40577</v>
          </cell>
          <cell r="D1664">
            <v>11424</v>
          </cell>
          <cell r="E1664" t="str">
            <v>Materia Prima</v>
          </cell>
        </row>
        <row r="1665">
          <cell r="A1665">
            <v>1000017843</v>
          </cell>
          <cell r="B1665">
            <v>40577</v>
          </cell>
          <cell r="D1665">
            <v>13200</v>
          </cell>
          <cell r="E1665" t="str">
            <v>Materia Prima</v>
          </cell>
        </row>
        <row r="1666">
          <cell r="A1666">
            <v>1000017843</v>
          </cell>
          <cell r="B1666">
            <v>40577</v>
          </cell>
          <cell r="D1666">
            <v>3744</v>
          </cell>
          <cell r="E1666" t="str">
            <v>Materia Prima</v>
          </cell>
        </row>
        <row r="1667">
          <cell r="A1667">
            <v>1000017843</v>
          </cell>
          <cell r="B1667">
            <v>40577</v>
          </cell>
          <cell r="D1667">
            <v>1755</v>
          </cell>
          <cell r="E1667" t="str">
            <v>Materia Prima</v>
          </cell>
        </row>
        <row r="1668">
          <cell r="A1668">
            <v>1000017843</v>
          </cell>
          <cell r="B1668">
            <v>40577</v>
          </cell>
          <cell r="D1668">
            <v>4773.6000000000004</v>
          </cell>
          <cell r="E1668" t="str">
            <v>Materia Prima</v>
          </cell>
        </row>
        <row r="1669">
          <cell r="A1669">
            <v>1000017844</v>
          </cell>
          <cell r="B1669">
            <v>40577</v>
          </cell>
          <cell r="D1669">
            <v>1909.8</v>
          </cell>
          <cell r="E1669" t="str">
            <v>Figurado</v>
          </cell>
        </row>
        <row r="1670">
          <cell r="A1670">
            <v>1000017845</v>
          </cell>
          <cell r="B1670">
            <v>40577</v>
          </cell>
          <cell r="D1670">
            <v>246.7</v>
          </cell>
          <cell r="E1670" t="str">
            <v>Figurado</v>
          </cell>
        </row>
        <row r="1671">
          <cell r="A1671">
            <v>1000017845</v>
          </cell>
          <cell r="B1671">
            <v>40577</v>
          </cell>
          <cell r="D1671">
            <v>841.7</v>
          </cell>
          <cell r="E1671" t="str">
            <v>Figurado</v>
          </cell>
        </row>
        <row r="1672">
          <cell r="A1672">
            <v>1000017845</v>
          </cell>
          <cell r="B1672">
            <v>40577</v>
          </cell>
          <cell r="D1672">
            <v>100.6</v>
          </cell>
          <cell r="E1672" t="str">
            <v>Figurado</v>
          </cell>
        </row>
        <row r="1673">
          <cell r="A1673">
            <v>1000017845</v>
          </cell>
          <cell r="B1673">
            <v>40577</v>
          </cell>
          <cell r="D1673">
            <v>126.2</v>
          </cell>
          <cell r="E1673" t="str">
            <v>Figurado</v>
          </cell>
        </row>
        <row r="1674">
          <cell r="A1674">
            <v>1000017845</v>
          </cell>
          <cell r="B1674">
            <v>40577</v>
          </cell>
          <cell r="D1674">
            <v>41.4</v>
          </cell>
          <cell r="E1674" t="str">
            <v>Figurado</v>
          </cell>
        </row>
        <row r="1675">
          <cell r="A1675">
            <v>1000017845</v>
          </cell>
          <cell r="B1675">
            <v>40577</v>
          </cell>
          <cell r="D1675">
            <v>25.1</v>
          </cell>
          <cell r="E1675" t="str">
            <v>Figurado</v>
          </cell>
        </row>
        <row r="1676">
          <cell r="A1676">
            <v>1000017846</v>
          </cell>
          <cell r="B1676">
            <v>40577</v>
          </cell>
          <cell r="D1676">
            <v>1586.8</v>
          </cell>
          <cell r="E1676" t="str">
            <v>Figurado</v>
          </cell>
        </row>
        <row r="1677">
          <cell r="A1677">
            <v>1000017846</v>
          </cell>
          <cell r="B1677">
            <v>40577</v>
          </cell>
          <cell r="D1677">
            <v>120</v>
          </cell>
          <cell r="E1677" t="str">
            <v>Figurado</v>
          </cell>
        </row>
        <row r="1678">
          <cell r="A1678">
            <v>1000017847</v>
          </cell>
          <cell r="B1678">
            <v>40578</v>
          </cell>
          <cell r="D1678">
            <v>402.6</v>
          </cell>
          <cell r="E1678" t="str">
            <v>Figurado</v>
          </cell>
        </row>
        <row r="1679">
          <cell r="A1679">
            <v>1000017847</v>
          </cell>
          <cell r="B1679">
            <v>40578</v>
          </cell>
          <cell r="D1679">
            <v>334.1</v>
          </cell>
          <cell r="E1679" t="str">
            <v>Figurado</v>
          </cell>
        </row>
        <row r="1680">
          <cell r="A1680">
            <v>1000017847</v>
          </cell>
          <cell r="B1680">
            <v>40578</v>
          </cell>
          <cell r="D1680">
            <v>683</v>
          </cell>
          <cell r="E1680" t="str">
            <v>Figurado</v>
          </cell>
        </row>
        <row r="1681">
          <cell r="A1681">
            <v>1000017847</v>
          </cell>
          <cell r="B1681">
            <v>40578</v>
          </cell>
          <cell r="D1681">
            <v>416.7</v>
          </cell>
          <cell r="E1681" t="str">
            <v>Figurado</v>
          </cell>
        </row>
        <row r="1682">
          <cell r="A1682">
            <v>1000017847</v>
          </cell>
          <cell r="B1682">
            <v>40578</v>
          </cell>
          <cell r="D1682">
            <v>1045.3</v>
          </cell>
          <cell r="E1682" t="str">
            <v>Figurado</v>
          </cell>
        </row>
        <row r="1683">
          <cell r="A1683">
            <v>1000017847</v>
          </cell>
          <cell r="B1683">
            <v>40578</v>
          </cell>
          <cell r="D1683">
            <v>43.6</v>
          </cell>
          <cell r="E1683" t="str">
            <v>Figurado</v>
          </cell>
        </row>
        <row r="1684">
          <cell r="A1684">
            <v>1000017848</v>
          </cell>
          <cell r="B1684">
            <v>40578</v>
          </cell>
          <cell r="D1684">
            <v>683.4</v>
          </cell>
          <cell r="E1684" t="str">
            <v>Figurado</v>
          </cell>
        </row>
        <row r="1685">
          <cell r="A1685">
            <v>1000017848</v>
          </cell>
          <cell r="B1685">
            <v>40578</v>
          </cell>
          <cell r="D1685">
            <v>263.7</v>
          </cell>
          <cell r="E1685" t="str">
            <v>Figurado</v>
          </cell>
        </row>
        <row r="1686">
          <cell r="A1686">
            <v>1000017848</v>
          </cell>
          <cell r="B1686">
            <v>40578</v>
          </cell>
          <cell r="D1686">
            <v>1043.3</v>
          </cell>
          <cell r="E1686" t="str">
            <v>Figurado</v>
          </cell>
        </row>
        <row r="1687">
          <cell r="A1687">
            <v>1000017848</v>
          </cell>
          <cell r="B1687">
            <v>40578</v>
          </cell>
          <cell r="D1687">
            <v>416.7</v>
          </cell>
          <cell r="E1687" t="str">
            <v>Figurado</v>
          </cell>
        </row>
        <row r="1688">
          <cell r="A1688">
            <v>1000017848</v>
          </cell>
          <cell r="B1688">
            <v>40578</v>
          </cell>
          <cell r="D1688">
            <v>1559.4</v>
          </cell>
          <cell r="E1688" t="str">
            <v>Figurado</v>
          </cell>
        </row>
        <row r="1689">
          <cell r="A1689">
            <v>1000017848</v>
          </cell>
          <cell r="B1689">
            <v>40578</v>
          </cell>
          <cell r="D1689">
            <v>43.6</v>
          </cell>
          <cell r="E1689" t="str">
            <v>Figurado</v>
          </cell>
        </row>
        <row r="1690">
          <cell r="A1690">
            <v>1000017852</v>
          </cell>
          <cell r="B1690">
            <v>40578</v>
          </cell>
          <cell r="D1690">
            <v>96</v>
          </cell>
          <cell r="E1690" t="str">
            <v>Materia Prima</v>
          </cell>
        </row>
        <row r="1691">
          <cell r="A1691">
            <v>1000017852</v>
          </cell>
          <cell r="B1691">
            <v>40578</v>
          </cell>
          <cell r="D1691">
            <v>10909.7</v>
          </cell>
          <cell r="E1691" t="str">
            <v>Figurado</v>
          </cell>
        </row>
        <row r="1692">
          <cell r="A1692">
            <v>1000017853</v>
          </cell>
          <cell r="B1692">
            <v>40578</v>
          </cell>
          <cell r="D1692">
            <v>5011.2</v>
          </cell>
          <cell r="E1692" t="str">
            <v>Mallas</v>
          </cell>
        </row>
        <row r="1693">
          <cell r="A1693">
            <v>1000017853</v>
          </cell>
          <cell r="B1693">
            <v>40578</v>
          </cell>
          <cell r="D1693">
            <v>3391.2</v>
          </cell>
          <cell r="E1693" t="str">
            <v>Mallas</v>
          </cell>
        </row>
        <row r="1694">
          <cell r="A1694">
            <v>1000017854</v>
          </cell>
          <cell r="B1694">
            <v>40578</v>
          </cell>
          <cell r="D1694">
            <v>3142</v>
          </cell>
          <cell r="E1694" t="str">
            <v>Mallas</v>
          </cell>
        </row>
        <row r="1695">
          <cell r="A1695">
            <v>1000017855</v>
          </cell>
          <cell r="B1695">
            <v>40578</v>
          </cell>
          <cell r="D1695">
            <v>6284.82</v>
          </cell>
          <cell r="E1695" t="str">
            <v>Mallas</v>
          </cell>
        </row>
        <row r="1696">
          <cell r="A1696">
            <v>1000017856</v>
          </cell>
          <cell r="B1696">
            <v>40578</v>
          </cell>
          <cell r="D1696">
            <v>7.5</v>
          </cell>
          <cell r="E1696" t="str">
            <v>Figurado</v>
          </cell>
        </row>
        <row r="1697">
          <cell r="A1697">
            <v>1000017857</v>
          </cell>
          <cell r="B1697">
            <v>40578</v>
          </cell>
          <cell r="D1697">
            <v>78.2</v>
          </cell>
          <cell r="E1697" t="str">
            <v>Figurado</v>
          </cell>
        </row>
        <row r="1698">
          <cell r="A1698">
            <v>1000017859</v>
          </cell>
          <cell r="B1698">
            <v>40578</v>
          </cell>
          <cell r="D1698">
            <v>120</v>
          </cell>
          <cell r="E1698" t="str">
            <v>Materia Prima</v>
          </cell>
        </row>
        <row r="1699">
          <cell r="A1699">
            <v>1000017859</v>
          </cell>
          <cell r="B1699">
            <v>40578</v>
          </cell>
          <cell r="D1699">
            <v>672</v>
          </cell>
          <cell r="E1699" t="str">
            <v>Materia Prima</v>
          </cell>
        </row>
        <row r="1700">
          <cell r="A1700">
            <v>1000017860</v>
          </cell>
          <cell r="B1700">
            <v>40578</v>
          </cell>
          <cell r="D1700">
            <v>8004</v>
          </cell>
          <cell r="E1700" t="str">
            <v>Materia Prima</v>
          </cell>
        </row>
        <row r="1701">
          <cell r="A1701">
            <v>1000017861</v>
          </cell>
          <cell r="B1701">
            <v>40578</v>
          </cell>
          <cell r="D1701">
            <v>7474.8</v>
          </cell>
          <cell r="E1701" t="str">
            <v>Figurado</v>
          </cell>
        </row>
        <row r="1702">
          <cell r="A1702">
            <v>1000017862</v>
          </cell>
          <cell r="B1702">
            <v>40578</v>
          </cell>
          <cell r="D1702">
            <v>1344</v>
          </cell>
          <cell r="E1702" t="str">
            <v>Materia Prima</v>
          </cell>
        </row>
        <row r="1703">
          <cell r="A1703">
            <v>1000017862</v>
          </cell>
          <cell r="B1703">
            <v>40578</v>
          </cell>
          <cell r="D1703">
            <v>2471</v>
          </cell>
          <cell r="E1703" t="str">
            <v>Materia Prima</v>
          </cell>
        </row>
        <row r="1704">
          <cell r="A1704">
            <v>1000017862</v>
          </cell>
          <cell r="B1704">
            <v>40578</v>
          </cell>
          <cell r="D1704">
            <v>6240</v>
          </cell>
          <cell r="E1704" t="str">
            <v>Figurado</v>
          </cell>
        </row>
        <row r="1705">
          <cell r="A1705">
            <v>1000017863</v>
          </cell>
          <cell r="B1705">
            <v>40578</v>
          </cell>
          <cell r="D1705">
            <v>374.4</v>
          </cell>
          <cell r="E1705" t="str">
            <v>Materia Prima</v>
          </cell>
        </row>
        <row r="1706">
          <cell r="A1706">
            <v>1000017863</v>
          </cell>
          <cell r="B1706">
            <v>40578</v>
          </cell>
          <cell r="D1706">
            <v>7570.1</v>
          </cell>
          <cell r="E1706" t="str">
            <v>Figurado</v>
          </cell>
        </row>
        <row r="1707">
          <cell r="A1707">
            <v>1000017863</v>
          </cell>
          <cell r="B1707">
            <v>40578</v>
          </cell>
          <cell r="D1707">
            <v>4477.3</v>
          </cell>
          <cell r="E1707" t="str">
            <v>Figurado</v>
          </cell>
        </row>
        <row r="1708">
          <cell r="A1708">
            <v>1000017864</v>
          </cell>
          <cell r="B1708">
            <v>40578</v>
          </cell>
          <cell r="D1708">
            <v>9000</v>
          </cell>
          <cell r="E1708" t="str">
            <v>Materia Prima</v>
          </cell>
        </row>
        <row r="1709">
          <cell r="A1709">
            <v>1000017865</v>
          </cell>
          <cell r="B1709">
            <v>40578</v>
          </cell>
          <cell r="D1709">
            <v>168</v>
          </cell>
          <cell r="E1709" t="str">
            <v>Figurado</v>
          </cell>
        </row>
        <row r="1710">
          <cell r="A1710">
            <v>1000017865</v>
          </cell>
          <cell r="B1710">
            <v>40578</v>
          </cell>
          <cell r="D1710">
            <v>600</v>
          </cell>
          <cell r="E1710" t="str">
            <v>Figurado</v>
          </cell>
        </row>
        <row r="1711">
          <cell r="A1711">
            <v>1000017866</v>
          </cell>
          <cell r="B1711">
            <v>40578</v>
          </cell>
          <cell r="D1711">
            <v>192.1</v>
          </cell>
          <cell r="E1711" t="str">
            <v>Materia Prima</v>
          </cell>
        </row>
        <row r="1712">
          <cell r="A1712">
            <v>1000017867</v>
          </cell>
          <cell r="B1712">
            <v>40578</v>
          </cell>
          <cell r="D1712">
            <v>148</v>
          </cell>
          <cell r="E1712" t="str">
            <v>Materia Prima</v>
          </cell>
        </row>
        <row r="1713">
          <cell r="A1713">
            <v>1000017868</v>
          </cell>
          <cell r="B1713">
            <v>40578</v>
          </cell>
          <cell r="D1713">
            <v>100</v>
          </cell>
          <cell r="E1713" t="str">
            <v>Materia Prima</v>
          </cell>
        </row>
        <row r="1714">
          <cell r="A1714">
            <v>1000017869</v>
          </cell>
          <cell r="B1714">
            <v>40578</v>
          </cell>
          <cell r="D1714">
            <v>366</v>
          </cell>
          <cell r="E1714" t="str">
            <v>Materia Prima</v>
          </cell>
        </row>
        <row r="1715">
          <cell r="A1715">
            <v>1000017870</v>
          </cell>
          <cell r="B1715">
            <v>40578</v>
          </cell>
          <cell r="D1715">
            <v>940.5</v>
          </cell>
          <cell r="E1715" t="str">
            <v>Mallas</v>
          </cell>
        </row>
        <row r="1716">
          <cell r="A1716">
            <v>1000017872</v>
          </cell>
          <cell r="B1716">
            <v>40578</v>
          </cell>
          <cell r="D1716">
            <v>4243.6000000000004</v>
          </cell>
          <cell r="E1716" t="str">
            <v>Figurado</v>
          </cell>
        </row>
        <row r="1717">
          <cell r="A1717">
            <v>1000017874</v>
          </cell>
          <cell r="B1717">
            <v>40578</v>
          </cell>
          <cell r="D1717">
            <v>5770.6</v>
          </cell>
          <cell r="E1717" t="str">
            <v>Figurado</v>
          </cell>
        </row>
        <row r="1718">
          <cell r="A1718">
            <v>1000017879</v>
          </cell>
          <cell r="B1718">
            <v>40579</v>
          </cell>
          <cell r="D1718">
            <v>10548.8</v>
          </cell>
          <cell r="E1718" t="str">
            <v>Mallas</v>
          </cell>
        </row>
        <row r="1719">
          <cell r="A1719">
            <v>1000017880</v>
          </cell>
          <cell r="B1719">
            <v>40579</v>
          </cell>
          <cell r="D1719">
            <v>10576.8</v>
          </cell>
          <cell r="E1719" t="str">
            <v>Materia Prima</v>
          </cell>
        </row>
        <row r="1720">
          <cell r="A1720">
            <v>1000017881</v>
          </cell>
          <cell r="B1720">
            <v>40579</v>
          </cell>
          <cell r="D1720">
            <v>12.5</v>
          </cell>
          <cell r="E1720" t="str">
            <v>Figurado</v>
          </cell>
        </row>
        <row r="1721">
          <cell r="A1721">
            <v>1000017881</v>
          </cell>
          <cell r="B1721">
            <v>40579</v>
          </cell>
          <cell r="D1721">
            <v>452.3</v>
          </cell>
          <cell r="E1721" t="str">
            <v>Figurado</v>
          </cell>
        </row>
        <row r="1722">
          <cell r="A1722">
            <v>1000017881</v>
          </cell>
          <cell r="B1722">
            <v>40579</v>
          </cell>
          <cell r="D1722">
            <v>1299</v>
          </cell>
          <cell r="E1722" t="str">
            <v>Figurado</v>
          </cell>
        </row>
        <row r="1723">
          <cell r="A1723">
            <v>1000017882</v>
          </cell>
          <cell r="B1723">
            <v>40579</v>
          </cell>
          <cell r="D1723">
            <v>144</v>
          </cell>
          <cell r="E1723" t="str">
            <v>Materia Prima</v>
          </cell>
        </row>
        <row r="1724">
          <cell r="A1724">
            <v>1000017882</v>
          </cell>
          <cell r="B1724">
            <v>40579</v>
          </cell>
          <cell r="D1724">
            <v>393.1</v>
          </cell>
          <cell r="E1724" t="str">
            <v>Materia Prima</v>
          </cell>
        </row>
        <row r="1725">
          <cell r="A1725">
            <v>1000017882</v>
          </cell>
          <cell r="B1725">
            <v>40579</v>
          </cell>
          <cell r="D1725">
            <v>243</v>
          </cell>
          <cell r="E1725" t="str">
            <v>Materia Prima</v>
          </cell>
        </row>
        <row r="1726">
          <cell r="A1726">
            <v>1000017882</v>
          </cell>
          <cell r="B1726">
            <v>40579</v>
          </cell>
          <cell r="D1726">
            <v>169.1</v>
          </cell>
          <cell r="E1726" t="str">
            <v>Figurado</v>
          </cell>
        </row>
        <row r="1727">
          <cell r="A1727">
            <v>1000017882</v>
          </cell>
          <cell r="B1727">
            <v>40579</v>
          </cell>
          <cell r="D1727">
            <v>399.8</v>
          </cell>
          <cell r="E1727" t="str">
            <v>Figurado</v>
          </cell>
        </row>
        <row r="1728">
          <cell r="A1728">
            <v>1000017882</v>
          </cell>
          <cell r="B1728">
            <v>40579</v>
          </cell>
          <cell r="D1728">
            <v>23.6</v>
          </cell>
          <cell r="E1728" t="str">
            <v>Figurado</v>
          </cell>
        </row>
        <row r="1729">
          <cell r="A1729">
            <v>1000017882</v>
          </cell>
          <cell r="B1729">
            <v>40579</v>
          </cell>
          <cell r="D1729">
            <v>955.9</v>
          </cell>
          <cell r="E1729" t="str">
            <v>Figurado</v>
          </cell>
        </row>
        <row r="1730">
          <cell r="A1730">
            <v>1000017883</v>
          </cell>
          <cell r="B1730">
            <v>40579</v>
          </cell>
          <cell r="D1730">
            <v>4373.2</v>
          </cell>
          <cell r="E1730" t="str">
            <v>Figurado</v>
          </cell>
        </row>
        <row r="1731">
          <cell r="A1731">
            <v>1000017883</v>
          </cell>
          <cell r="B1731">
            <v>40579</v>
          </cell>
          <cell r="D1731">
            <v>737.6</v>
          </cell>
          <cell r="E1731" t="str">
            <v>Figurado</v>
          </cell>
        </row>
        <row r="1732">
          <cell r="A1732">
            <v>1000017884</v>
          </cell>
          <cell r="B1732">
            <v>40579</v>
          </cell>
          <cell r="D1732">
            <v>9640.2999999999993</v>
          </cell>
          <cell r="E1732" t="str">
            <v>Figurado</v>
          </cell>
        </row>
        <row r="1733">
          <cell r="A1733">
            <v>1000017885</v>
          </cell>
          <cell r="B1733">
            <v>40579</v>
          </cell>
          <cell r="D1733">
            <v>11742.1</v>
          </cell>
          <cell r="E1733" t="str">
            <v>Figurado</v>
          </cell>
        </row>
        <row r="1734">
          <cell r="A1734">
            <v>1000017888</v>
          </cell>
          <cell r="B1734">
            <v>40579</v>
          </cell>
          <cell r="D1734">
            <v>10684.1</v>
          </cell>
          <cell r="E1734" t="str">
            <v>Figurado</v>
          </cell>
        </row>
        <row r="1735">
          <cell r="A1735">
            <v>1000017888</v>
          </cell>
          <cell r="B1735">
            <v>40579</v>
          </cell>
          <cell r="D1735">
            <v>227.8</v>
          </cell>
          <cell r="E1735" t="str">
            <v>Figurado</v>
          </cell>
        </row>
        <row r="1736">
          <cell r="A1736">
            <v>1000017903</v>
          </cell>
          <cell r="B1736">
            <v>40579</v>
          </cell>
          <cell r="D1736">
            <v>4800</v>
          </cell>
          <cell r="E1736" t="str">
            <v>Materia Prima</v>
          </cell>
        </row>
        <row r="1737">
          <cell r="A1737">
            <v>1000017904</v>
          </cell>
          <cell r="B1737">
            <v>40579</v>
          </cell>
          <cell r="D1737">
            <v>35008</v>
          </cell>
          <cell r="E1737" t="str">
            <v>Materia Prima</v>
          </cell>
        </row>
        <row r="1738">
          <cell r="A1738">
            <v>1000017905</v>
          </cell>
          <cell r="B1738">
            <v>40579</v>
          </cell>
          <cell r="D1738">
            <v>34467</v>
          </cell>
          <cell r="E1738" t="str">
            <v>Materia Prima</v>
          </cell>
        </row>
        <row r="1739">
          <cell r="A1739">
            <v>1000017906</v>
          </cell>
          <cell r="B1739">
            <v>40579</v>
          </cell>
          <cell r="D1739">
            <v>35549</v>
          </cell>
          <cell r="E1739" t="str">
            <v>Materia Prima</v>
          </cell>
        </row>
        <row r="1740">
          <cell r="A1740">
            <v>1000017907</v>
          </cell>
          <cell r="B1740">
            <v>40581</v>
          </cell>
          <cell r="D1740">
            <v>7265</v>
          </cell>
          <cell r="E1740" t="str">
            <v>Figurado</v>
          </cell>
        </row>
        <row r="1741">
          <cell r="A1741">
            <v>1000017908</v>
          </cell>
          <cell r="B1741">
            <v>40581</v>
          </cell>
          <cell r="D1741">
            <v>120</v>
          </cell>
          <cell r="E1741" t="str">
            <v>Materia Prima</v>
          </cell>
        </row>
        <row r="1742">
          <cell r="A1742">
            <v>1000017908</v>
          </cell>
          <cell r="B1742">
            <v>40581</v>
          </cell>
          <cell r="D1742">
            <v>661.7</v>
          </cell>
          <cell r="E1742" t="str">
            <v>Figurado</v>
          </cell>
        </row>
        <row r="1743">
          <cell r="A1743">
            <v>1000017909</v>
          </cell>
          <cell r="B1743">
            <v>40581</v>
          </cell>
          <cell r="D1743">
            <v>108</v>
          </cell>
          <cell r="E1743" t="str">
            <v>Materia Prima</v>
          </cell>
        </row>
        <row r="1744">
          <cell r="A1744">
            <v>1000017909</v>
          </cell>
          <cell r="B1744">
            <v>40581</v>
          </cell>
          <cell r="D1744">
            <v>440.9</v>
          </cell>
          <cell r="E1744" t="str">
            <v>Figurado</v>
          </cell>
        </row>
        <row r="1745">
          <cell r="A1745">
            <v>1000017910</v>
          </cell>
          <cell r="B1745">
            <v>40581</v>
          </cell>
          <cell r="D1745">
            <v>108</v>
          </cell>
          <cell r="E1745" t="str">
            <v>Materia Prima</v>
          </cell>
        </row>
        <row r="1746">
          <cell r="A1746">
            <v>1000017910</v>
          </cell>
          <cell r="B1746">
            <v>40581</v>
          </cell>
          <cell r="D1746">
            <v>550.5</v>
          </cell>
          <cell r="E1746" t="str">
            <v>Figurado</v>
          </cell>
        </row>
        <row r="1747">
          <cell r="A1747">
            <v>1000017911</v>
          </cell>
          <cell r="B1747">
            <v>40581</v>
          </cell>
          <cell r="D1747">
            <v>108</v>
          </cell>
          <cell r="E1747" t="str">
            <v>Materia Prima</v>
          </cell>
        </row>
        <row r="1748">
          <cell r="A1748">
            <v>1000017911</v>
          </cell>
          <cell r="B1748">
            <v>40581</v>
          </cell>
          <cell r="D1748">
            <v>440.9</v>
          </cell>
          <cell r="E1748" t="str">
            <v>Figurado</v>
          </cell>
        </row>
        <row r="1749">
          <cell r="A1749">
            <v>1000017912</v>
          </cell>
          <cell r="B1749">
            <v>40581</v>
          </cell>
          <cell r="D1749">
            <v>120</v>
          </cell>
          <cell r="E1749" t="str">
            <v>Materia Prima</v>
          </cell>
        </row>
        <row r="1750">
          <cell r="A1750">
            <v>1000017912</v>
          </cell>
          <cell r="B1750">
            <v>40581</v>
          </cell>
          <cell r="D1750">
            <v>661.7</v>
          </cell>
          <cell r="E1750" t="str">
            <v>Figurado</v>
          </cell>
        </row>
        <row r="1751">
          <cell r="A1751">
            <v>1000017913</v>
          </cell>
          <cell r="B1751">
            <v>40581</v>
          </cell>
          <cell r="D1751">
            <v>310.2</v>
          </cell>
          <cell r="E1751" t="str">
            <v>Figurado</v>
          </cell>
        </row>
        <row r="1752">
          <cell r="A1752">
            <v>1000017913</v>
          </cell>
          <cell r="B1752">
            <v>40581</v>
          </cell>
          <cell r="D1752">
            <v>180</v>
          </cell>
          <cell r="E1752" t="str">
            <v>Figurado</v>
          </cell>
        </row>
        <row r="1753">
          <cell r="A1753">
            <v>1000017914</v>
          </cell>
          <cell r="B1753">
            <v>40581</v>
          </cell>
          <cell r="D1753">
            <v>310.2</v>
          </cell>
          <cell r="E1753" t="str">
            <v>Figurado</v>
          </cell>
        </row>
        <row r="1754">
          <cell r="A1754">
            <v>1000017914</v>
          </cell>
          <cell r="B1754">
            <v>40581</v>
          </cell>
          <cell r="D1754">
            <v>156</v>
          </cell>
          <cell r="E1754" t="str">
            <v>Figurado</v>
          </cell>
        </row>
        <row r="1755">
          <cell r="A1755">
            <v>1000017915</v>
          </cell>
          <cell r="B1755">
            <v>40581</v>
          </cell>
          <cell r="D1755">
            <v>310.2</v>
          </cell>
          <cell r="E1755" t="str">
            <v>Figurado</v>
          </cell>
        </row>
        <row r="1756">
          <cell r="A1756">
            <v>1000017915</v>
          </cell>
          <cell r="B1756">
            <v>40581</v>
          </cell>
          <cell r="D1756">
            <v>156</v>
          </cell>
          <cell r="E1756" t="str">
            <v>Figurado</v>
          </cell>
        </row>
        <row r="1757">
          <cell r="A1757">
            <v>1000017916</v>
          </cell>
          <cell r="B1757">
            <v>40581</v>
          </cell>
          <cell r="D1757">
            <v>310.2</v>
          </cell>
          <cell r="E1757" t="str">
            <v>Figurado</v>
          </cell>
        </row>
        <row r="1758">
          <cell r="A1758">
            <v>1000017916</v>
          </cell>
          <cell r="B1758">
            <v>40581</v>
          </cell>
          <cell r="D1758">
            <v>156</v>
          </cell>
          <cell r="E1758" t="str">
            <v>Figurado</v>
          </cell>
        </row>
        <row r="1759">
          <cell r="A1759">
            <v>1000017917</v>
          </cell>
          <cell r="B1759">
            <v>40581</v>
          </cell>
          <cell r="D1759">
            <v>16.8</v>
          </cell>
          <cell r="E1759" t="str">
            <v>Figurado</v>
          </cell>
        </row>
        <row r="1760">
          <cell r="A1760">
            <v>1000017919</v>
          </cell>
          <cell r="B1760">
            <v>40581</v>
          </cell>
          <cell r="D1760">
            <v>16.8</v>
          </cell>
          <cell r="E1760" t="str">
            <v>Figurado</v>
          </cell>
        </row>
        <row r="1761">
          <cell r="A1761">
            <v>1000017920</v>
          </cell>
          <cell r="B1761">
            <v>40581</v>
          </cell>
          <cell r="D1761">
            <v>16.8</v>
          </cell>
          <cell r="E1761" t="str">
            <v>Figurado</v>
          </cell>
        </row>
        <row r="1762">
          <cell r="A1762">
            <v>1000017921</v>
          </cell>
          <cell r="B1762">
            <v>40581</v>
          </cell>
          <cell r="D1762">
            <v>16.8</v>
          </cell>
          <cell r="E1762" t="str">
            <v>Figurado</v>
          </cell>
        </row>
        <row r="1763">
          <cell r="A1763">
            <v>1000017922</v>
          </cell>
          <cell r="B1763">
            <v>40581</v>
          </cell>
          <cell r="D1763">
            <v>374.4</v>
          </cell>
          <cell r="E1763" t="str">
            <v>Materia Prima</v>
          </cell>
        </row>
        <row r="1764">
          <cell r="A1764">
            <v>1000017923</v>
          </cell>
          <cell r="B1764">
            <v>40581</v>
          </cell>
          <cell r="D1764">
            <v>9493.9</v>
          </cell>
          <cell r="E1764" t="str">
            <v>Figurado</v>
          </cell>
        </row>
        <row r="1765">
          <cell r="A1765">
            <v>1000017926</v>
          </cell>
          <cell r="B1765">
            <v>40581</v>
          </cell>
          <cell r="D1765">
            <v>1209.5999999999999</v>
          </cell>
          <cell r="E1765" t="str">
            <v>Materia Prima</v>
          </cell>
        </row>
        <row r="1766">
          <cell r="A1766">
            <v>1000017926</v>
          </cell>
          <cell r="B1766">
            <v>40581</v>
          </cell>
          <cell r="D1766">
            <v>2174</v>
          </cell>
          <cell r="E1766" t="str">
            <v>Figurado</v>
          </cell>
        </row>
        <row r="1767">
          <cell r="A1767">
            <v>1000017926</v>
          </cell>
          <cell r="B1767">
            <v>40581</v>
          </cell>
          <cell r="D1767">
            <v>3635</v>
          </cell>
          <cell r="E1767" t="str">
            <v>Figurado</v>
          </cell>
        </row>
        <row r="1768">
          <cell r="A1768">
            <v>1000017926</v>
          </cell>
          <cell r="B1768">
            <v>40581</v>
          </cell>
          <cell r="D1768">
            <v>640.79999999999995</v>
          </cell>
          <cell r="E1768" t="str">
            <v>Figurado</v>
          </cell>
        </row>
        <row r="1769">
          <cell r="A1769">
            <v>1000017926</v>
          </cell>
          <cell r="B1769">
            <v>40581</v>
          </cell>
          <cell r="D1769">
            <v>334.2</v>
          </cell>
          <cell r="E1769" t="str">
            <v>Figurado</v>
          </cell>
        </row>
        <row r="1770">
          <cell r="A1770">
            <v>1000017926</v>
          </cell>
          <cell r="B1770">
            <v>40581</v>
          </cell>
          <cell r="D1770">
            <v>4199</v>
          </cell>
          <cell r="E1770" t="str">
            <v>Figurado</v>
          </cell>
        </row>
        <row r="1771">
          <cell r="A1771">
            <v>1000017930</v>
          </cell>
          <cell r="B1771">
            <v>40581</v>
          </cell>
          <cell r="D1771">
            <v>1128.5999999999999</v>
          </cell>
          <cell r="E1771" t="str">
            <v>Mallas</v>
          </cell>
        </row>
        <row r="1772">
          <cell r="A1772">
            <v>1000017930</v>
          </cell>
          <cell r="B1772">
            <v>40581</v>
          </cell>
          <cell r="D1772">
            <v>5928</v>
          </cell>
          <cell r="E1772" t="str">
            <v>Mallas</v>
          </cell>
        </row>
        <row r="1773">
          <cell r="A1773">
            <v>1000017931</v>
          </cell>
          <cell r="B1773">
            <v>40581</v>
          </cell>
          <cell r="D1773">
            <v>2808</v>
          </cell>
          <cell r="E1773" t="str">
            <v>Materia Prima</v>
          </cell>
        </row>
        <row r="1774">
          <cell r="A1774">
            <v>1000017932</v>
          </cell>
          <cell r="B1774">
            <v>40581</v>
          </cell>
          <cell r="D1774">
            <v>1157.68</v>
          </cell>
          <cell r="E1774" t="str">
            <v>Mallas</v>
          </cell>
        </row>
        <row r="1775">
          <cell r="A1775">
            <v>1000017932</v>
          </cell>
          <cell r="B1775">
            <v>40581</v>
          </cell>
          <cell r="D1775">
            <v>8366.16</v>
          </cell>
          <cell r="E1775" t="str">
            <v>Mallas</v>
          </cell>
        </row>
        <row r="1776">
          <cell r="A1776">
            <v>1000017933</v>
          </cell>
          <cell r="B1776">
            <v>40581</v>
          </cell>
          <cell r="D1776">
            <v>972</v>
          </cell>
          <cell r="E1776" t="str">
            <v>Materia Prima</v>
          </cell>
        </row>
        <row r="1777">
          <cell r="A1777">
            <v>1000017933</v>
          </cell>
          <cell r="B1777">
            <v>40581</v>
          </cell>
          <cell r="D1777">
            <v>8750.6</v>
          </cell>
          <cell r="E1777" t="str">
            <v>Figurado</v>
          </cell>
        </row>
        <row r="1778">
          <cell r="A1778">
            <v>1000017933</v>
          </cell>
          <cell r="B1778">
            <v>40581</v>
          </cell>
          <cell r="D1778">
            <v>143.80000000000001</v>
          </cell>
          <cell r="E1778" t="str">
            <v>Figurado</v>
          </cell>
        </row>
        <row r="1779">
          <cell r="A1779">
            <v>1000017934</v>
          </cell>
          <cell r="B1779">
            <v>40581</v>
          </cell>
          <cell r="D1779">
            <v>80.599999999999994</v>
          </cell>
          <cell r="E1779" t="str">
            <v>Materia Prima</v>
          </cell>
        </row>
        <row r="1780">
          <cell r="A1780">
            <v>1000017934</v>
          </cell>
          <cell r="B1780">
            <v>40581</v>
          </cell>
          <cell r="D1780">
            <v>1840.7</v>
          </cell>
          <cell r="E1780" t="str">
            <v>Figurado</v>
          </cell>
        </row>
        <row r="1781">
          <cell r="A1781">
            <v>1000017934</v>
          </cell>
          <cell r="B1781">
            <v>40581</v>
          </cell>
          <cell r="D1781">
            <v>172.1</v>
          </cell>
          <cell r="E1781" t="str">
            <v>Figurado</v>
          </cell>
        </row>
        <row r="1782">
          <cell r="A1782">
            <v>1000017937</v>
          </cell>
          <cell r="B1782">
            <v>40581</v>
          </cell>
          <cell r="D1782">
            <v>7068.3</v>
          </cell>
          <cell r="E1782" t="str">
            <v>Figurado</v>
          </cell>
        </row>
        <row r="1783">
          <cell r="A1783">
            <v>1000017939</v>
          </cell>
          <cell r="B1783">
            <v>40581</v>
          </cell>
          <cell r="D1783">
            <v>600</v>
          </cell>
          <cell r="E1783" t="str">
            <v>Figurado</v>
          </cell>
        </row>
        <row r="1784">
          <cell r="A1784">
            <v>1000017940</v>
          </cell>
          <cell r="B1784">
            <v>40581</v>
          </cell>
          <cell r="D1784">
            <v>108.7</v>
          </cell>
          <cell r="E1784" t="str">
            <v>Figurado</v>
          </cell>
        </row>
        <row r="1785">
          <cell r="A1785">
            <v>1000017941</v>
          </cell>
          <cell r="B1785">
            <v>40581</v>
          </cell>
          <cell r="D1785">
            <v>108.7</v>
          </cell>
          <cell r="E1785" t="str">
            <v>Figurado</v>
          </cell>
        </row>
        <row r="1786">
          <cell r="A1786">
            <v>1000017942</v>
          </cell>
          <cell r="B1786">
            <v>40581</v>
          </cell>
          <cell r="D1786">
            <v>237.7</v>
          </cell>
          <cell r="E1786" t="str">
            <v>Figurado</v>
          </cell>
        </row>
        <row r="1787">
          <cell r="A1787">
            <v>1000017942</v>
          </cell>
          <cell r="B1787">
            <v>40581</v>
          </cell>
          <cell r="D1787">
            <v>656.7</v>
          </cell>
          <cell r="E1787" t="str">
            <v>Figurado</v>
          </cell>
        </row>
        <row r="1788">
          <cell r="A1788">
            <v>1000017942</v>
          </cell>
          <cell r="B1788">
            <v>40581</v>
          </cell>
          <cell r="D1788">
            <v>210.4</v>
          </cell>
          <cell r="E1788" t="str">
            <v>Figurado</v>
          </cell>
        </row>
        <row r="1789">
          <cell r="A1789">
            <v>1000017942</v>
          </cell>
          <cell r="B1789">
            <v>40581</v>
          </cell>
          <cell r="D1789">
            <v>445.1</v>
          </cell>
          <cell r="E1789" t="str">
            <v>Figurado</v>
          </cell>
        </row>
        <row r="1790">
          <cell r="A1790">
            <v>1000017943</v>
          </cell>
          <cell r="B1790">
            <v>40581</v>
          </cell>
          <cell r="D1790">
            <v>405.4</v>
          </cell>
          <cell r="E1790" t="str">
            <v>Figurado</v>
          </cell>
        </row>
        <row r="1791">
          <cell r="A1791">
            <v>1000017943</v>
          </cell>
          <cell r="B1791">
            <v>40581</v>
          </cell>
          <cell r="D1791">
            <v>1316</v>
          </cell>
          <cell r="E1791" t="str">
            <v>Figurado</v>
          </cell>
        </row>
        <row r="1792">
          <cell r="A1792">
            <v>1000017943</v>
          </cell>
          <cell r="B1792">
            <v>40581</v>
          </cell>
          <cell r="D1792">
            <v>360.7</v>
          </cell>
          <cell r="E1792" t="str">
            <v>Figurado</v>
          </cell>
        </row>
        <row r="1793">
          <cell r="A1793">
            <v>1000017944</v>
          </cell>
          <cell r="B1793">
            <v>40581</v>
          </cell>
          <cell r="D1793">
            <v>24</v>
          </cell>
          <cell r="E1793" t="str">
            <v>Materia Prima</v>
          </cell>
        </row>
        <row r="1794">
          <cell r="A1794">
            <v>1000017944</v>
          </cell>
          <cell r="B1794">
            <v>40581</v>
          </cell>
          <cell r="D1794">
            <v>224.6</v>
          </cell>
          <cell r="E1794" t="str">
            <v>Materia Prima</v>
          </cell>
        </row>
        <row r="1795">
          <cell r="A1795">
            <v>1000017944</v>
          </cell>
          <cell r="B1795">
            <v>40581</v>
          </cell>
          <cell r="D1795">
            <v>276.39999999999998</v>
          </cell>
          <cell r="E1795" t="str">
            <v>Figurado</v>
          </cell>
        </row>
        <row r="1796">
          <cell r="A1796">
            <v>1000017944</v>
          </cell>
          <cell r="B1796">
            <v>40581</v>
          </cell>
          <cell r="D1796">
            <v>2491.6</v>
          </cell>
          <cell r="E1796" t="str">
            <v>Figurado</v>
          </cell>
        </row>
        <row r="1797">
          <cell r="A1797">
            <v>1000017945</v>
          </cell>
          <cell r="B1797">
            <v>40581</v>
          </cell>
          <cell r="D1797">
            <v>124.9</v>
          </cell>
          <cell r="E1797" t="str">
            <v>Figurado</v>
          </cell>
        </row>
        <row r="1798">
          <cell r="A1798">
            <v>1000017946</v>
          </cell>
          <cell r="B1798">
            <v>40581</v>
          </cell>
          <cell r="D1798">
            <v>124.9</v>
          </cell>
          <cell r="E1798" t="str">
            <v>Figurado</v>
          </cell>
        </row>
        <row r="1799">
          <cell r="A1799">
            <v>1000017947</v>
          </cell>
          <cell r="B1799">
            <v>40581</v>
          </cell>
          <cell r="D1799">
            <v>79.099999999999994</v>
          </cell>
          <cell r="E1799" t="str">
            <v>Figurado</v>
          </cell>
        </row>
        <row r="1800">
          <cell r="A1800">
            <v>1000017948</v>
          </cell>
          <cell r="B1800">
            <v>40581</v>
          </cell>
          <cell r="D1800">
            <v>1680</v>
          </cell>
          <cell r="E1800" t="str">
            <v>Materia Prima</v>
          </cell>
        </row>
        <row r="1801">
          <cell r="A1801">
            <v>1000017948</v>
          </cell>
          <cell r="B1801">
            <v>40581</v>
          </cell>
          <cell r="D1801">
            <v>1344</v>
          </cell>
          <cell r="E1801" t="str">
            <v>Figurado</v>
          </cell>
        </row>
        <row r="1802">
          <cell r="A1802">
            <v>1000017949</v>
          </cell>
          <cell r="B1802">
            <v>40581</v>
          </cell>
          <cell r="D1802">
            <v>246.2</v>
          </cell>
          <cell r="E1802" t="str">
            <v>Figurado</v>
          </cell>
        </row>
        <row r="1803">
          <cell r="A1803">
            <v>1000017949</v>
          </cell>
          <cell r="B1803">
            <v>40581</v>
          </cell>
          <cell r="D1803">
            <v>175.3</v>
          </cell>
          <cell r="E1803" t="str">
            <v>Figurado</v>
          </cell>
        </row>
        <row r="1804">
          <cell r="A1804">
            <v>1000017949</v>
          </cell>
          <cell r="B1804">
            <v>40581</v>
          </cell>
          <cell r="D1804">
            <v>296.10000000000002</v>
          </cell>
          <cell r="E1804" t="str">
            <v>Figurado</v>
          </cell>
        </row>
        <row r="1805">
          <cell r="A1805">
            <v>1000017950</v>
          </cell>
          <cell r="B1805">
            <v>40581</v>
          </cell>
          <cell r="D1805">
            <v>30.7</v>
          </cell>
          <cell r="E1805" t="str">
            <v>Figurado</v>
          </cell>
        </row>
        <row r="1806">
          <cell r="A1806">
            <v>1000017950</v>
          </cell>
          <cell r="B1806">
            <v>40581</v>
          </cell>
          <cell r="D1806">
            <v>277.39999999999998</v>
          </cell>
          <cell r="E1806" t="str">
            <v>Figurado</v>
          </cell>
        </row>
        <row r="1807">
          <cell r="A1807">
            <v>1000017950</v>
          </cell>
          <cell r="B1807">
            <v>40581</v>
          </cell>
          <cell r="D1807">
            <v>273</v>
          </cell>
          <cell r="E1807" t="str">
            <v>Figurado</v>
          </cell>
        </row>
        <row r="1808">
          <cell r="A1808">
            <v>1000017950</v>
          </cell>
          <cell r="B1808">
            <v>40581</v>
          </cell>
          <cell r="D1808">
            <v>88.6</v>
          </cell>
          <cell r="E1808" t="str">
            <v>Figurado</v>
          </cell>
        </row>
        <row r="1809">
          <cell r="A1809">
            <v>1000017950</v>
          </cell>
          <cell r="B1809">
            <v>40581</v>
          </cell>
          <cell r="D1809">
            <v>230.8</v>
          </cell>
          <cell r="E1809" t="str">
            <v>Figurado</v>
          </cell>
        </row>
        <row r="1810">
          <cell r="A1810">
            <v>1000017951</v>
          </cell>
          <cell r="B1810">
            <v>40581</v>
          </cell>
          <cell r="D1810">
            <v>33.200000000000003</v>
          </cell>
          <cell r="E1810" t="str">
            <v>Figurado</v>
          </cell>
        </row>
        <row r="1811">
          <cell r="A1811">
            <v>1000017951</v>
          </cell>
          <cell r="B1811">
            <v>40581</v>
          </cell>
          <cell r="D1811">
            <v>21.6</v>
          </cell>
          <cell r="E1811" t="str">
            <v>Figurado</v>
          </cell>
        </row>
        <row r="1812">
          <cell r="A1812">
            <v>1000017951</v>
          </cell>
          <cell r="B1812">
            <v>40581</v>
          </cell>
          <cell r="D1812">
            <v>22.2</v>
          </cell>
          <cell r="E1812" t="str">
            <v>Figurado</v>
          </cell>
        </row>
        <row r="1813">
          <cell r="A1813">
            <v>1000017952</v>
          </cell>
          <cell r="B1813">
            <v>40581</v>
          </cell>
          <cell r="D1813">
            <v>189.3</v>
          </cell>
          <cell r="E1813" t="str">
            <v>Figurado</v>
          </cell>
        </row>
        <row r="1814">
          <cell r="A1814">
            <v>1000017952</v>
          </cell>
          <cell r="B1814">
            <v>40581</v>
          </cell>
          <cell r="D1814">
            <v>123.2</v>
          </cell>
          <cell r="E1814" t="str">
            <v>Figurado</v>
          </cell>
        </row>
        <row r="1815">
          <cell r="A1815">
            <v>1000017952</v>
          </cell>
          <cell r="B1815">
            <v>40581</v>
          </cell>
          <cell r="D1815">
            <v>504.5</v>
          </cell>
          <cell r="E1815" t="str">
            <v>Figurado</v>
          </cell>
        </row>
        <row r="1816">
          <cell r="A1816">
            <v>1000017953</v>
          </cell>
          <cell r="B1816">
            <v>40581</v>
          </cell>
          <cell r="D1816">
            <v>92.2</v>
          </cell>
          <cell r="E1816" t="str">
            <v>Figurado</v>
          </cell>
        </row>
        <row r="1817">
          <cell r="A1817">
            <v>1000017958</v>
          </cell>
          <cell r="B1817">
            <v>40582</v>
          </cell>
          <cell r="D1817">
            <v>748.8</v>
          </cell>
          <cell r="E1817" t="str">
            <v>Materia Prima</v>
          </cell>
        </row>
        <row r="1818">
          <cell r="A1818">
            <v>1000017958</v>
          </cell>
          <cell r="B1818">
            <v>40582</v>
          </cell>
          <cell r="D1818">
            <v>364.6</v>
          </cell>
          <cell r="E1818" t="str">
            <v>Figurado</v>
          </cell>
        </row>
        <row r="1819">
          <cell r="A1819">
            <v>1000017958</v>
          </cell>
          <cell r="B1819">
            <v>40582</v>
          </cell>
          <cell r="D1819">
            <v>77.400000000000006</v>
          </cell>
          <cell r="E1819" t="str">
            <v>Figurado</v>
          </cell>
        </row>
        <row r="1820">
          <cell r="A1820">
            <v>1000017959</v>
          </cell>
          <cell r="B1820">
            <v>40582</v>
          </cell>
          <cell r="D1820">
            <v>840</v>
          </cell>
          <cell r="E1820" t="str">
            <v>Materia Prima</v>
          </cell>
        </row>
        <row r="1821">
          <cell r="A1821">
            <v>1000017960</v>
          </cell>
          <cell r="B1821">
            <v>40582</v>
          </cell>
          <cell r="D1821">
            <v>636.5</v>
          </cell>
          <cell r="E1821" t="str">
            <v>Materia Prima</v>
          </cell>
        </row>
        <row r="1822">
          <cell r="A1822">
            <v>1000017960</v>
          </cell>
          <cell r="B1822">
            <v>40582</v>
          </cell>
          <cell r="D1822">
            <v>154.1</v>
          </cell>
          <cell r="E1822" t="str">
            <v>Figurado</v>
          </cell>
        </row>
        <row r="1823">
          <cell r="A1823">
            <v>1000017961</v>
          </cell>
          <cell r="B1823">
            <v>40582</v>
          </cell>
          <cell r="D1823">
            <v>600</v>
          </cell>
          <cell r="E1823" t="str">
            <v>Materia Prima</v>
          </cell>
        </row>
        <row r="1824">
          <cell r="A1824">
            <v>1000017961</v>
          </cell>
          <cell r="B1824">
            <v>40582</v>
          </cell>
          <cell r="D1824">
            <v>1663</v>
          </cell>
          <cell r="E1824" t="str">
            <v>Figurado</v>
          </cell>
        </row>
        <row r="1825">
          <cell r="A1825">
            <v>1000017961</v>
          </cell>
          <cell r="B1825">
            <v>40582</v>
          </cell>
          <cell r="D1825">
            <v>191.3</v>
          </cell>
          <cell r="E1825" t="str">
            <v>Figurado</v>
          </cell>
        </row>
        <row r="1826">
          <cell r="A1826">
            <v>1000017961</v>
          </cell>
          <cell r="B1826">
            <v>40582</v>
          </cell>
          <cell r="D1826">
            <v>291.89999999999998</v>
          </cell>
          <cell r="E1826" t="str">
            <v>Figurado</v>
          </cell>
        </row>
        <row r="1827">
          <cell r="A1827">
            <v>1000017962</v>
          </cell>
          <cell r="B1827">
            <v>40582</v>
          </cell>
          <cell r="D1827">
            <v>948.3</v>
          </cell>
          <cell r="E1827" t="str">
            <v>Figurado</v>
          </cell>
        </row>
        <row r="1828">
          <cell r="A1828">
            <v>1000017963</v>
          </cell>
          <cell r="B1828">
            <v>40582</v>
          </cell>
          <cell r="D1828">
            <v>124.9</v>
          </cell>
          <cell r="E1828" t="str">
            <v>Figurado</v>
          </cell>
        </row>
        <row r="1829">
          <cell r="A1829">
            <v>1000017964</v>
          </cell>
          <cell r="B1829">
            <v>40582</v>
          </cell>
          <cell r="D1829">
            <v>1651.5</v>
          </cell>
          <cell r="E1829" t="str">
            <v>Mallas</v>
          </cell>
        </row>
        <row r="1830">
          <cell r="A1830">
            <v>1000017965</v>
          </cell>
          <cell r="B1830">
            <v>40582</v>
          </cell>
          <cell r="D1830">
            <v>4590.8</v>
          </cell>
          <cell r="E1830" t="str">
            <v>Mallas</v>
          </cell>
        </row>
        <row r="1831">
          <cell r="A1831">
            <v>1000017966</v>
          </cell>
          <cell r="B1831">
            <v>40582</v>
          </cell>
          <cell r="D1831">
            <v>9970.48</v>
          </cell>
          <cell r="E1831" t="str">
            <v>Mallas</v>
          </cell>
        </row>
        <row r="1832">
          <cell r="A1832">
            <v>1000017973</v>
          </cell>
          <cell r="B1832">
            <v>40582</v>
          </cell>
          <cell r="D1832">
            <v>33839.519999999997</v>
          </cell>
          <cell r="E1832" t="str">
            <v>Materia Prima</v>
          </cell>
        </row>
        <row r="1833">
          <cell r="A1833">
            <v>1000017820</v>
          </cell>
          <cell r="B1833">
            <v>40577</v>
          </cell>
          <cell r="D1833">
            <v>1412</v>
          </cell>
          <cell r="E1833" t="str">
            <v>Mallas</v>
          </cell>
        </row>
        <row r="1834">
          <cell r="A1834">
            <v>1000017821</v>
          </cell>
          <cell r="B1834">
            <v>40577</v>
          </cell>
          <cell r="D1834">
            <v>950.4</v>
          </cell>
          <cell r="E1834" t="str">
            <v>Mallas</v>
          </cell>
        </row>
        <row r="1835">
          <cell r="A1835">
            <v>1000017822</v>
          </cell>
          <cell r="B1835">
            <v>40577</v>
          </cell>
          <cell r="D1835">
            <v>1434.12</v>
          </cell>
          <cell r="E1835" t="str">
            <v>Mallas</v>
          </cell>
        </row>
        <row r="1836">
          <cell r="A1836">
            <v>1000017823</v>
          </cell>
          <cell r="B1836">
            <v>40577</v>
          </cell>
          <cell r="D1836">
            <v>3136</v>
          </cell>
          <cell r="E1836" t="str">
            <v>Mallas</v>
          </cell>
        </row>
        <row r="1837">
          <cell r="A1837">
            <v>1000017826</v>
          </cell>
          <cell r="B1837">
            <v>40577</v>
          </cell>
          <cell r="D1837">
            <v>2739</v>
          </cell>
          <cell r="E1837" t="str">
            <v>Mallas</v>
          </cell>
        </row>
        <row r="1838">
          <cell r="A1838">
            <v>1000017886</v>
          </cell>
          <cell r="B1838">
            <v>40579</v>
          </cell>
          <cell r="D1838">
            <v>1436</v>
          </cell>
          <cell r="E1838" t="str">
            <v>Mallas</v>
          </cell>
        </row>
        <row r="1839">
          <cell r="A1839">
            <v>1000017887</v>
          </cell>
          <cell r="B1839">
            <v>40579</v>
          </cell>
          <cell r="D1839">
            <v>2490</v>
          </cell>
          <cell r="E1839" t="str">
            <v>Mallas</v>
          </cell>
        </row>
        <row r="1840">
          <cell r="A1840">
            <v>1000017889</v>
          </cell>
          <cell r="B1840">
            <v>40579</v>
          </cell>
          <cell r="D1840">
            <v>456.96</v>
          </cell>
          <cell r="E1840" t="str">
            <v>Mallas</v>
          </cell>
        </row>
        <row r="1841">
          <cell r="A1841">
            <v>1000017890</v>
          </cell>
          <cell r="B1841">
            <v>40579</v>
          </cell>
          <cell r="D1841">
            <v>505</v>
          </cell>
          <cell r="E1841" t="str">
            <v>Materia Prima</v>
          </cell>
        </row>
        <row r="1842">
          <cell r="A1842">
            <v>1000017891</v>
          </cell>
          <cell r="B1842">
            <v>40579</v>
          </cell>
          <cell r="D1842">
            <v>300</v>
          </cell>
          <cell r="E1842" t="str">
            <v>Materia Prima</v>
          </cell>
        </row>
        <row r="1843">
          <cell r="A1843">
            <v>1000017891</v>
          </cell>
          <cell r="B1843">
            <v>40579</v>
          </cell>
          <cell r="D1843">
            <v>3164.64</v>
          </cell>
          <cell r="E1843" t="str">
            <v>Mallas</v>
          </cell>
        </row>
        <row r="1844">
          <cell r="A1844">
            <v>1000017892</v>
          </cell>
          <cell r="B1844">
            <v>40579</v>
          </cell>
          <cell r="D1844">
            <v>300</v>
          </cell>
          <cell r="E1844" t="str">
            <v>Materia Prima</v>
          </cell>
        </row>
        <row r="1845">
          <cell r="A1845">
            <v>1000017892</v>
          </cell>
          <cell r="B1845">
            <v>40579</v>
          </cell>
          <cell r="D1845">
            <v>1482</v>
          </cell>
          <cell r="E1845" t="str">
            <v>Mallas</v>
          </cell>
        </row>
        <row r="1846">
          <cell r="A1846">
            <v>1000017892</v>
          </cell>
          <cell r="B1846">
            <v>40579</v>
          </cell>
          <cell r="D1846">
            <v>688.56</v>
          </cell>
          <cell r="E1846" t="str">
            <v>Mallas</v>
          </cell>
        </row>
        <row r="1847">
          <cell r="A1847">
            <v>1000017893</v>
          </cell>
          <cell r="B1847">
            <v>40579</v>
          </cell>
          <cell r="D1847">
            <v>688.56</v>
          </cell>
          <cell r="E1847" t="str">
            <v>Mallas</v>
          </cell>
        </row>
        <row r="1848">
          <cell r="A1848">
            <v>1000017893</v>
          </cell>
          <cell r="B1848">
            <v>40579</v>
          </cell>
          <cell r="D1848">
            <v>338.4</v>
          </cell>
          <cell r="E1848" t="str">
            <v>Mallas</v>
          </cell>
        </row>
        <row r="1849">
          <cell r="A1849">
            <v>1000017894</v>
          </cell>
          <cell r="B1849">
            <v>40579</v>
          </cell>
          <cell r="D1849">
            <v>114.76</v>
          </cell>
          <cell r="E1849" t="str">
            <v>Mallas</v>
          </cell>
        </row>
        <row r="1850">
          <cell r="A1850">
            <v>1000017895</v>
          </cell>
          <cell r="B1850">
            <v>40579</v>
          </cell>
          <cell r="D1850">
            <v>1360</v>
          </cell>
          <cell r="E1850" t="str">
            <v>Mallas</v>
          </cell>
        </row>
        <row r="1851">
          <cell r="A1851">
            <v>1000017873</v>
          </cell>
          <cell r="B1851">
            <v>40578</v>
          </cell>
          <cell r="D1851">
            <v>2889.28</v>
          </cell>
          <cell r="E1851" t="str">
            <v>Mallas</v>
          </cell>
        </row>
        <row r="1852">
          <cell r="A1852">
            <v>1000017875</v>
          </cell>
          <cell r="B1852">
            <v>40578</v>
          </cell>
          <cell r="D1852">
            <v>1000</v>
          </cell>
          <cell r="E1852" t="str">
            <v>Materia Prima</v>
          </cell>
        </row>
        <row r="1853">
          <cell r="A1853">
            <v>1000017924</v>
          </cell>
          <cell r="B1853">
            <v>40581</v>
          </cell>
          <cell r="D1853">
            <v>680</v>
          </cell>
          <cell r="E1853" t="str">
            <v>Mallas</v>
          </cell>
        </row>
        <row r="1854">
          <cell r="A1854">
            <v>1000017925</v>
          </cell>
          <cell r="B1854">
            <v>40581</v>
          </cell>
          <cell r="D1854">
            <v>320</v>
          </cell>
          <cell r="E1854" t="str">
            <v>Materia Prima</v>
          </cell>
        </row>
        <row r="1855">
          <cell r="A1855">
            <v>1000017927</v>
          </cell>
          <cell r="B1855">
            <v>40581</v>
          </cell>
          <cell r="D1855">
            <v>2749</v>
          </cell>
          <cell r="E1855" t="str">
            <v>Mallas</v>
          </cell>
        </row>
        <row r="1856">
          <cell r="A1856">
            <v>1000017928</v>
          </cell>
          <cell r="B1856">
            <v>40581</v>
          </cell>
          <cell r="D1856">
            <v>340</v>
          </cell>
          <cell r="E1856" t="str">
            <v>Mallas</v>
          </cell>
        </row>
        <row r="1857">
          <cell r="A1857">
            <v>1000017979</v>
          </cell>
          <cell r="B1857">
            <v>40582</v>
          </cell>
          <cell r="D1857">
            <v>8607</v>
          </cell>
          <cell r="E1857" t="str">
            <v>Mallas</v>
          </cell>
        </row>
        <row r="1858">
          <cell r="A1858">
            <v>1000017995</v>
          </cell>
          <cell r="B1858">
            <v>40583</v>
          </cell>
          <cell r="D1858">
            <v>4698</v>
          </cell>
          <cell r="E1858" t="str">
            <v>Mallas</v>
          </cell>
        </row>
        <row r="1859">
          <cell r="A1859">
            <v>1000017996</v>
          </cell>
          <cell r="B1859">
            <v>40583</v>
          </cell>
          <cell r="D1859">
            <v>8151.28</v>
          </cell>
          <cell r="E1859" t="str">
            <v>Mallas</v>
          </cell>
        </row>
        <row r="1860">
          <cell r="A1860">
            <v>1000018003</v>
          </cell>
          <cell r="B1860">
            <v>40583</v>
          </cell>
          <cell r="D1860">
            <v>2277.7199999999998</v>
          </cell>
          <cell r="E1860" t="str">
            <v>Mallas</v>
          </cell>
        </row>
        <row r="1861">
          <cell r="A1861">
            <v>1000018004</v>
          </cell>
          <cell r="B1861">
            <v>40583</v>
          </cell>
          <cell r="D1861">
            <v>1975.05</v>
          </cell>
          <cell r="E1861" t="str">
            <v>Mallas</v>
          </cell>
        </row>
        <row r="1862">
          <cell r="A1862">
            <v>1000018004</v>
          </cell>
          <cell r="B1862">
            <v>40583</v>
          </cell>
          <cell r="D1862">
            <v>1033</v>
          </cell>
          <cell r="E1862" t="str">
            <v>Materia Prima</v>
          </cell>
        </row>
        <row r="1863">
          <cell r="A1863">
            <v>1000017974</v>
          </cell>
          <cell r="B1863">
            <v>40582</v>
          </cell>
          <cell r="D1863">
            <v>34</v>
          </cell>
          <cell r="E1863" t="str">
            <v>Figurado</v>
          </cell>
        </row>
        <row r="1864">
          <cell r="A1864">
            <v>1000017975</v>
          </cell>
          <cell r="B1864">
            <v>40582</v>
          </cell>
          <cell r="D1864">
            <v>34.5</v>
          </cell>
          <cell r="E1864" t="str">
            <v>Figurado</v>
          </cell>
        </row>
        <row r="1865">
          <cell r="A1865">
            <v>1000017976</v>
          </cell>
          <cell r="B1865">
            <v>40582</v>
          </cell>
          <cell r="D1865">
            <v>34.5</v>
          </cell>
          <cell r="E1865" t="str">
            <v>Figurado</v>
          </cell>
        </row>
        <row r="1866">
          <cell r="A1866">
            <v>1000017977</v>
          </cell>
          <cell r="B1866">
            <v>40582</v>
          </cell>
          <cell r="D1866">
            <v>34.5</v>
          </cell>
          <cell r="E1866" t="str">
            <v>Figurado</v>
          </cell>
        </row>
        <row r="1867">
          <cell r="A1867">
            <v>1000017978</v>
          </cell>
          <cell r="B1867">
            <v>40582</v>
          </cell>
          <cell r="D1867">
            <v>34.5</v>
          </cell>
          <cell r="E1867" t="str">
            <v>Figurado</v>
          </cell>
        </row>
        <row r="1868">
          <cell r="A1868">
            <v>1000017992</v>
          </cell>
          <cell r="B1868">
            <v>40583</v>
          </cell>
          <cell r="D1868">
            <v>4050.8</v>
          </cell>
          <cell r="E1868" t="str">
            <v>Mallas</v>
          </cell>
        </row>
        <row r="1869">
          <cell r="A1869">
            <v>1000017993</v>
          </cell>
          <cell r="B1869">
            <v>40583</v>
          </cell>
          <cell r="D1869">
            <v>4235.5200000000004</v>
          </cell>
          <cell r="E1869" t="str">
            <v>Mallas</v>
          </cell>
        </row>
        <row r="1870">
          <cell r="A1870">
            <v>1000017997</v>
          </cell>
          <cell r="B1870">
            <v>40583</v>
          </cell>
          <cell r="D1870">
            <v>298.49400000000003</v>
          </cell>
          <cell r="E1870" t="str">
            <v>Materia Prima</v>
          </cell>
        </row>
        <row r="1871">
          <cell r="A1871">
            <v>1000017997</v>
          </cell>
          <cell r="B1871">
            <v>40583</v>
          </cell>
          <cell r="D1871">
            <v>409.64</v>
          </cell>
          <cell r="E1871" t="str">
            <v>Mallas</v>
          </cell>
        </row>
        <row r="1872">
          <cell r="A1872">
            <v>1000017997</v>
          </cell>
          <cell r="B1872">
            <v>40583</v>
          </cell>
          <cell r="D1872">
            <v>750.5</v>
          </cell>
          <cell r="E1872" t="str">
            <v>Mallas</v>
          </cell>
        </row>
        <row r="1873">
          <cell r="A1873">
            <v>1000017998</v>
          </cell>
          <cell r="B1873">
            <v>40583</v>
          </cell>
          <cell r="D1873">
            <v>52.7</v>
          </cell>
          <cell r="E1873" t="str">
            <v>Figurado</v>
          </cell>
        </row>
        <row r="1874">
          <cell r="A1874">
            <v>1000018002</v>
          </cell>
          <cell r="B1874">
            <v>40583</v>
          </cell>
          <cell r="D1874">
            <v>839.8</v>
          </cell>
          <cell r="E1874" t="str">
            <v>Mallas</v>
          </cell>
        </row>
        <row r="1875">
          <cell r="A1875">
            <v>1000018011</v>
          </cell>
          <cell r="B1875">
            <v>40584</v>
          </cell>
          <cell r="D1875">
            <v>5003</v>
          </cell>
          <cell r="E1875" t="str">
            <v>Materia Prima</v>
          </cell>
        </row>
        <row r="1876">
          <cell r="A1876">
            <v>1000018011</v>
          </cell>
          <cell r="B1876">
            <v>40584</v>
          </cell>
          <cell r="D1876">
            <v>4698</v>
          </cell>
          <cell r="E1876" t="str">
            <v>Mallas</v>
          </cell>
        </row>
        <row r="1877">
          <cell r="A1877">
            <v>1000018013</v>
          </cell>
          <cell r="B1877">
            <v>40584</v>
          </cell>
          <cell r="D1877">
            <v>953.28</v>
          </cell>
          <cell r="E1877" t="str">
            <v>Mallas</v>
          </cell>
        </row>
        <row r="1878">
          <cell r="A1878">
            <v>1000018014</v>
          </cell>
          <cell r="B1878">
            <v>40584</v>
          </cell>
          <cell r="D1878">
            <v>9068.7800000000007</v>
          </cell>
          <cell r="E1878" t="str">
            <v>Mallas</v>
          </cell>
        </row>
        <row r="1879">
          <cell r="A1879">
            <v>1000018028</v>
          </cell>
          <cell r="B1879">
            <v>40584</v>
          </cell>
          <cell r="D1879">
            <v>35000</v>
          </cell>
          <cell r="E1879" t="str">
            <v>Materia Prima</v>
          </cell>
        </row>
        <row r="1880">
          <cell r="A1880">
            <v>1000017831</v>
          </cell>
          <cell r="B1880">
            <v>40577</v>
          </cell>
          <cell r="D1880">
            <v>1344</v>
          </cell>
          <cell r="E1880" t="str">
            <v>Materia Prima</v>
          </cell>
        </row>
        <row r="1881">
          <cell r="A1881">
            <v>1000017831</v>
          </cell>
          <cell r="B1881">
            <v>40577</v>
          </cell>
          <cell r="D1881">
            <v>1800</v>
          </cell>
          <cell r="E1881" t="str">
            <v>Materia Prima</v>
          </cell>
        </row>
        <row r="1882">
          <cell r="A1882">
            <v>1000017831</v>
          </cell>
          <cell r="B1882">
            <v>40577</v>
          </cell>
          <cell r="D1882">
            <v>3159</v>
          </cell>
          <cell r="E1882" t="str">
            <v>Materia Prima</v>
          </cell>
        </row>
        <row r="1883">
          <cell r="A1883">
            <v>1000017832</v>
          </cell>
          <cell r="B1883">
            <v>40577</v>
          </cell>
          <cell r="D1883">
            <v>1572.5</v>
          </cell>
          <cell r="E1883" t="str">
            <v>Materia Prima</v>
          </cell>
        </row>
        <row r="1884">
          <cell r="A1884">
            <v>1000017849</v>
          </cell>
          <cell r="B1884">
            <v>40578</v>
          </cell>
          <cell r="D1884">
            <v>0</v>
          </cell>
          <cell r="E1884" t="str">
            <v>Materia Prima</v>
          </cell>
        </row>
        <row r="1885">
          <cell r="A1885">
            <v>1000017849</v>
          </cell>
          <cell r="B1885">
            <v>40578</v>
          </cell>
          <cell r="D1885">
            <v>167.8</v>
          </cell>
          <cell r="E1885" t="str">
            <v>Figurado</v>
          </cell>
        </row>
        <row r="1886">
          <cell r="A1886">
            <v>1000017849</v>
          </cell>
          <cell r="B1886">
            <v>40578</v>
          </cell>
          <cell r="D1886">
            <v>5289.4</v>
          </cell>
          <cell r="E1886" t="str">
            <v>Figurado</v>
          </cell>
        </row>
        <row r="1887">
          <cell r="A1887">
            <v>1000017849</v>
          </cell>
          <cell r="B1887">
            <v>40578</v>
          </cell>
          <cell r="D1887">
            <v>83.1</v>
          </cell>
          <cell r="E1887" t="str">
            <v>Figurado</v>
          </cell>
        </row>
        <row r="1888">
          <cell r="A1888">
            <v>1000017849</v>
          </cell>
          <cell r="B1888">
            <v>40578</v>
          </cell>
          <cell r="D1888">
            <v>251.6</v>
          </cell>
          <cell r="E1888" t="str">
            <v>Figurado</v>
          </cell>
        </row>
        <row r="1889">
          <cell r="A1889">
            <v>1000017849</v>
          </cell>
          <cell r="B1889">
            <v>40578</v>
          </cell>
          <cell r="D1889">
            <v>82</v>
          </cell>
          <cell r="E1889" t="str">
            <v>Figurado</v>
          </cell>
        </row>
        <row r="1890">
          <cell r="A1890">
            <v>1000017850</v>
          </cell>
          <cell r="B1890">
            <v>40578</v>
          </cell>
          <cell r="D1890">
            <v>179.5</v>
          </cell>
          <cell r="E1890" t="str">
            <v>Figurado</v>
          </cell>
        </row>
        <row r="1891">
          <cell r="A1891">
            <v>1000017850</v>
          </cell>
          <cell r="B1891">
            <v>40578</v>
          </cell>
          <cell r="D1891">
            <v>263.3</v>
          </cell>
          <cell r="E1891" t="str">
            <v>Figurado</v>
          </cell>
        </row>
        <row r="1892">
          <cell r="A1892">
            <v>1000017850</v>
          </cell>
          <cell r="B1892">
            <v>40578</v>
          </cell>
          <cell r="D1892">
            <v>68.8</v>
          </cell>
          <cell r="E1892" t="str">
            <v>Figurado</v>
          </cell>
        </row>
        <row r="1893">
          <cell r="A1893">
            <v>1000017850</v>
          </cell>
          <cell r="B1893">
            <v>40578</v>
          </cell>
          <cell r="D1893">
            <v>70.400000000000006</v>
          </cell>
          <cell r="E1893" t="str">
            <v>Figurado</v>
          </cell>
        </row>
        <row r="1894">
          <cell r="A1894">
            <v>1000017851</v>
          </cell>
          <cell r="B1894">
            <v>40578</v>
          </cell>
          <cell r="D1894">
            <v>336</v>
          </cell>
          <cell r="E1894" t="str">
            <v>Figurado</v>
          </cell>
        </row>
        <row r="1895">
          <cell r="A1895">
            <v>1000017851</v>
          </cell>
          <cell r="B1895">
            <v>40578</v>
          </cell>
          <cell r="D1895">
            <v>961.4</v>
          </cell>
          <cell r="E1895" t="str">
            <v>Figurado</v>
          </cell>
        </row>
        <row r="1896">
          <cell r="A1896">
            <v>1000017871</v>
          </cell>
          <cell r="B1896">
            <v>40578</v>
          </cell>
          <cell r="D1896">
            <v>10160.64</v>
          </cell>
          <cell r="E1896" t="str">
            <v>Materia Prima</v>
          </cell>
        </row>
        <row r="1897">
          <cell r="A1897">
            <v>1000017876</v>
          </cell>
          <cell r="B1897">
            <v>40578</v>
          </cell>
          <cell r="D1897">
            <v>4247</v>
          </cell>
          <cell r="E1897" t="str">
            <v>Materia Prima</v>
          </cell>
        </row>
        <row r="1898">
          <cell r="A1898">
            <v>1000017876</v>
          </cell>
          <cell r="B1898">
            <v>40578</v>
          </cell>
          <cell r="D1898">
            <v>1965.6</v>
          </cell>
          <cell r="E1898" t="str">
            <v>Materia Prima</v>
          </cell>
        </row>
        <row r="1899">
          <cell r="A1899">
            <v>1000017878</v>
          </cell>
          <cell r="B1899">
            <v>40578</v>
          </cell>
          <cell r="D1899">
            <v>396</v>
          </cell>
          <cell r="E1899" t="str">
            <v>Materia Prima</v>
          </cell>
        </row>
        <row r="1900">
          <cell r="A1900">
            <v>1000017935</v>
          </cell>
          <cell r="B1900">
            <v>40581</v>
          </cell>
          <cell r="D1900">
            <v>7783.2</v>
          </cell>
          <cell r="E1900" t="str">
            <v>Figurado</v>
          </cell>
        </row>
        <row r="1901">
          <cell r="A1901">
            <v>1000017936</v>
          </cell>
          <cell r="B1901">
            <v>40581</v>
          </cell>
          <cell r="D1901">
            <v>11293.4</v>
          </cell>
          <cell r="E1901" t="str">
            <v>Figurado</v>
          </cell>
        </row>
        <row r="1902">
          <cell r="A1902">
            <v>1000017938</v>
          </cell>
          <cell r="B1902">
            <v>40581</v>
          </cell>
          <cell r="D1902">
            <v>8680.4</v>
          </cell>
          <cell r="E1902" t="str">
            <v>Figurado</v>
          </cell>
        </row>
        <row r="1903">
          <cell r="A1903">
            <v>1000017954</v>
          </cell>
          <cell r="B1903">
            <v>40581</v>
          </cell>
          <cell r="D1903">
            <v>107.5</v>
          </cell>
          <cell r="E1903" t="str">
            <v>Materia Prima</v>
          </cell>
        </row>
        <row r="1904">
          <cell r="A1904">
            <v>1000017954</v>
          </cell>
          <cell r="B1904">
            <v>40581</v>
          </cell>
          <cell r="D1904">
            <v>60</v>
          </cell>
          <cell r="E1904" t="str">
            <v>Materia Prima</v>
          </cell>
        </row>
        <row r="1905">
          <cell r="A1905">
            <v>1000017954</v>
          </cell>
          <cell r="B1905">
            <v>40581</v>
          </cell>
          <cell r="D1905">
            <v>1138.3</v>
          </cell>
          <cell r="E1905" t="str">
            <v>Materia Prima</v>
          </cell>
        </row>
        <row r="1906">
          <cell r="A1906">
            <v>1000017954</v>
          </cell>
          <cell r="B1906">
            <v>40581</v>
          </cell>
          <cell r="D1906">
            <v>335</v>
          </cell>
          <cell r="E1906" t="str">
            <v>Figurado</v>
          </cell>
        </row>
        <row r="1907">
          <cell r="A1907">
            <v>1000017954</v>
          </cell>
          <cell r="B1907">
            <v>40581</v>
          </cell>
          <cell r="D1907">
            <v>2467.6</v>
          </cell>
          <cell r="E1907" t="str">
            <v>Figurado</v>
          </cell>
        </row>
        <row r="1908">
          <cell r="A1908">
            <v>1000017955</v>
          </cell>
          <cell r="B1908">
            <v>40581</v>
          </cell>
          <cell r="D1908">
            <v>1189.4000000000001</v>
          </cell>
          <cell r="E1908" t="str">
            <v>Materia Prima</v>
          </cell>
        </row>
        <row r="1909">
          <cell r="A1909">
            <v>1000017955</v>
          </cell>
          <cell r="B1909">
            <v>40581</v>
          </cell>
          <cell r="D1909">
            <v>1080</v>
          </cell>
          <cell r="E1909" t="str">
            <v>Materia Prima</v>
          </cell>
        </row>
        <row r="1910">
          <cell r="A1910">
            <v>1000017955</v>
          </cell>
          <cell r="B1910">
            <v>40581</v>
          </cell>
          <cell r="D1910">
            <v>2061.1999999999998</v>
          </cell>
          <cell r="E1910" t="str">
            <v>Figurado</v>
          </cell>
        </row>
        <row r="1911">
          <cell r="A1911">
            <v>1000017955</v>
          </cell>
          <cell r="B1911">
            <v>40581</v>
          </cell>
          <cell r="D1911">
            <v>1231.7</v>
          </cell>
          <cell r="E1911" t="str">
            <v>Figurado</v>
          </cell>
        </row>
        <row r="1912">
          <cell r="A1912">
            <v>1000017956</v>
          </cell>
          <cell r="B1912">
            <v>40581</v>
          </cell>
          <cell r="D1912">
            <v>336</v>
          </cell>
          <cell r="E1912" t="str">
            <v>Materia Prima</v>
          </cell>
        </row>
        <row r="1913">
          <cell r="A1913">
            <v>1000017956</v>
          </cell>
          <cell r="B1913">
            <v>40581</v>
          </cell>
          <cell r="D1913">
            <v>48</v>
          </cell>
          <cell r="E1913" t="str">
            <v>Materia Prima</v>
          </cell>
        </row>
        <row r="1914">
          <cell r="A1914">
            <v>1000017956</v>
          </cell>
          <cell r="B1914">
            <v>40581</v>
          </cell>
          <cell r="D1914">
            <v>7.7</v>
          </cell>
          <cell r="E1914" t="str">
            <v>Figurado</v>
          </cell>
        </row>
        <row r="1915">
          <cell r="A1915">
            <v>1000017956</v>
          </cell>
          <cell r="B1915">
            <v>40581</v>
          </cell>
          <cell r="D1915">
            <v>1581.7</v>
          </cell>
          <cell r="E1915" t="str">
            <v>Figurado</v>
          </cell>
        </row>
        <row r="1916">
          <cell r="A1916">
            <v>1000017956</v>
          </cell>
          <cell r="B1916">
            <v>40581</v>
          </cell>
          <cell r="D1916">
            <v>1357.1</v>
          </cell>
          <cell r="E1916" t="str">
            <v>Figurado</v>
          </cell>
        </row>
        <row r="1917">
          <cell r="A1917">
            <v>1000017956</v>
          </cell>
          <cell r="B1917">
            <v>40581</v>
          </cell>
          <cell r="D1917">
            <v>724.2</v>
          </cell>
          <cell r="E1917" t="str">
            <v>Figurado</v>
          </cell>
        </row>
        <row r="1918">
          <cell r="A1918">
            <v>1000017956</v>
          </cell>
          <cell r="B1918">
            <v>40581</v>
          </cell>
          <cell r="D1918">
            <v>157.9</v>
          </cell>
          <cell r="E1918" t="str">
            <v>Figurado</v>
          </cell>
        </row>
        <row r="1919">
          <cell r="A1919">
            <v>1000017957</v>
          </cell>
          <cell r="B1919">
            <v>40581</v>
          </cell>
          <cell r="D1919">
            <v>336</v>
          </cell>
          <cell r="E1919" t="str">
            <v>Materia Prima</v>
          </cell>
        </row>
        <row r="1920">
          <cell r="A1920">
            <v>1000017957</v>
          </cell>
          <cell r="B1920">
            <v>40581</v>
          </cell>
          <cell r="D1920">
            <v>48</v>
          </cell>
          <cell r="E1920" t="str">
            <v>Materia Prima</v>
          </cell>
        </row>
        <row r="1921">
          <cell r="A1921">
            <v>1000017957</v>
          </cell>
          <cell r="B1921">
            <v>40581</v>
          </cell>
          <cell r="D1921">
            <v>7.7</v>
          </cell>
          <cell r="E1921" t="str">
            <v>Figurado</v>
          </cell>
        </row>
        <row r="1922">
          <cell r="A1922">
            <v>1000017957</v>
          </cell>
          <cell r="B1922">
            <v>40581</v>
          </cell>
          <cell r="D1922">
            <v>1581.7</v>
          </cell>
          <cell r="E1922" t="str">
            <v>Figurado</v>
          </cell>
        </row>
        <row r="1923">
          <cell r="A1923">
            <v>1000017957</v>
          </cell>
          <cell r="B1923">
            <v>40581</v>
          </cell>
          <cell r="D1923">
            <v>1357.1</v>
          </cell>
          <cell r="E1923" t="str">
            <v>Figurado</v>
          </cell>
        </row>
        <row r="1924">
          <cell r="A1924">
            <v>1000017957</v>
          </cell>
          <cell r="B1924">
            <v>40581</v>
          </cell>
          <cell r="D1924">
            <v>724.2</v>
          </cell>
          <cell r="E1924" t="str">
            <v>Figurado</v>
          </cell>
        </row>
        <row r="1925">
          <cell r="A1925">
            <v>1000017957</v>
          </cell>
          <cell r="B1925">
            <v>40581</v>
          </cell>
          <cell r="D1925">
            <v>157.9</v>
          </cell>
          <cell r="E1925" t="str">
            <v>Figurado</v>
          </cell>
        </row>
        <row r="1926">
          <cell r="A1926">
            <v>1000017968</v>
          </cell>
          <cell r="B1926">
            <v>40582</v>
          </cell>
          <cell r="D1926">
            <v>67.2</v>
          </cell>
          <cell r="E1926" t="str">
            <v>Materia Prima</v>
          </cell>
        </row>
        <row r="1927">
          <cell r="A1927">
            <v>1000017968</v>
          </cell>
          <cell r="B1927">
            <v>40582</v>
          </cell>
          <cell r="D1927">
            <v>1</v>
          </cell>
          <cell r="E1927" t="str">
            <v>Figurado</v>
          </cell>
        </row>
        <row r="1928">
          <cell r="A1928">
            <v>1000017968</v>
          </cell>
          <cell r="B1928">
            <v>40582</v>
          </cell>
          <cell r="D1928">
            <v>2221</v>
          </cell>
          <cell r="E1928" t="str">
            <v>Figurado</v>
          </cell>
        </row>
        <row r="1929">
          <cell r="A1929">
            <v>1000017968</v>
          </cell>
          <cell r="B1929">
            <v>40582</v>
          </cell>
          <cell r="D1929">
            <v>638.4</v>
          </cell>
          <cell r="E1929" t="str">
            <v>Figurado</v>
          </cell>
        </row>
        <row r="1930">
          <cell r="A1930">
            <v>1000017968</v>
          </cell>
          <cell r="B1930">
            <v>40582</v>
          </cell>
          <cell r="D1930">
            <v>725.6</v>
          </cell>
          <cell r="E1930" t="str">
            <v>Figurado</v>
          </cell>
        </row>
        <row r="1931">
          <cell r="A1931">
            <v>1000017968</v>
          </cell>
          <cell r="B1931">
            <v>40582</v>
          </cell>
          <cell r="D1931">
            <v>872.2</v>
          </cell>
          <cell r="E1931" t="str">
            <v>Figurado</v>
          </cell>
        </row>
        <row r="1932">
          <cell r="A1932">
            <v>1000017968</v>
          </cell>
          <cell r="B1932">
            <v>40582</v>
          </cell>
          <cell r="D1932">
            <v>530.79999999999995</v>
          </cell>
          <cell r="E1932" t="str">
            <v>Figurado</v>
          </cell>
        </row>
        <row r="1933">
          <cell r="A1933">
            <v>1000017968</v>
          </cell>
          <cell r="B1933">
            <v>40582</v>
          </cell>
          <cell r="D1933">
            <v>141.6</v>
          </cell>
          <cell r="E1933" t="str">
            <v>Figurado</v>
          </cell>
        </row>
        <row r="1934">
          <cell r="A1934">
            <v>1000017969</v>
          </cell>
          <cell r="B1934">
            <v>40582</v>
          </cell>
          <cell r="D1934">
            <v>384.6</v>
          </cell>
          <cell r="E1934" t="str">
            <v>Figurado</v>
          </cell>
        </row>
        <row r="1935">
          <cell r="A1935">
            <v>1000017970</v>
          </cell>
          <cell r="B1935">
            <v>40582</v>
          </cell>
          <cell r="D1935">
            <v>672</v>
          </cell>
          <cell r="E1935" t="str">
            <v>Materia Prima</v>
          </cell>
        </row>
        <row r="1936">
          <cell r="A1936">
            <v>1000017971</v>
          </cell>
          <cell r="B1936">
            <v>40582</v>
          </cell>
          <cell r="D1936">
            <v>2248.6999999999998</v>
          </cell>
          <cell r="E1936" t="str">
            <v>Figurado</v>
          </cell>
        </row>
        <row r="1937">
          <cell r="A1937">
            <v>1000017972</v>
          </cell>
          <cell r="B1937">
            <v>40582</v>
          </cell>
          <cell r="D1937">
            <v>161.30000000000001</v>
          </cell>
          <cell r="E1937" t="str">
            <v>Materia Prima</v>
          </cell>
        </row>
        <row r="1938">
          <cell r="A1938">
            <v>1000017972</v>
          </cell>
          <cell r="B1938">
            <v>40582</v>
          </cell>
          <cell r="D1938">
            <v>316.8</v>
          </cell>
          <cell r="E1938" t="str">
            <v>Figurado</v>
          </cell>
        </row>
        <row r="1939">
          <cell r="A1939">
            <v>1000017972</v>
          </cell>
          <cell r="B1939">
            <v>40582</v>
          </cell>
          <cell r="D1939">
            <v>2832.1</v>
          </cell>
          <cell r="E1939" t="str">
            <v>Figurado</v>
          </cell>
        </row>
        <row r="1940">
          <cell r="A1940">
            <v>1000017972</v>
          </cell>
          <cell r="B1940">
            <v>40582</v>
          </cell>
          <cell r="D1940">
            <v>2170.4</v>
          </cell>
          <cell r="E1940" t="str">
            <v>Figurado</v>
          </cell>
        </row>
        <row r="1941">
          <cell r="A1941">
            <v>1000017972</v>
          </cell>
          <cell r="B1941">
            <v>40582</v>
          </cell>
          <cell r="D1941">
            <v>1675.2</v>
          </cell>
          <cell r="E1941" t="str">
            <v>Figurado</v>
          </cell>
        </row>
        <row r="1942">
          <cell r="A1942">
            <v>1000017972</v>
          </cell>
          <cell r="B1942">
            <v>40582</v>
          </cell>
          <cell r="D1942">
            <v>862.1</v>
          </cell>
          <cell r="E1942" t="str">
            <v>Figurado</v>
          </cell>
        </row>
        <row r="1943">
          <cell r="A1943">
            <v>1000017972</v>
          </cell>
          <cell r="B1943">
            <v>40582</v>
          </cell>
          <cell r="D1943">
            <v>178.4</v>
          </cell>
          <cell r="E1943" t="str">
            <v>Figurado</v>
          </cell>
        </row>
        <row r="1944">
          <cell r="A1944">
            <v>1000017972</v>
          </cell>
          <cell r="B1944">
            <v>40582</v>
          </cell>
          <cell r="D1944">
            <v>44</v>
          </cell>
          <cell r="E1944" t="str">
            <v>Figurado</v>
          </cell>
        </row>
        <row r="1945">
          <cell r="A1945">
            <v>1000017980</v>
          </cell>
          <cell r="B1945">
            <v>40583</v>
          </cell>
          <cell r="D1945">
            <v>600</v>
          </cell>
          <cell r="E1945" t="str">
            <v>Materia Prima</v>
          </cell>
        </row>
        <row r="1946">
          <cell r="A1946">
            <v>1000017981</v>
          </cell>
          <cell r="B1946">
            <v>40583</v>
          </cell>
          <cell r="D1946">
            <v>280.5</v>
          </cell>
          <cell r="E1946" t="str">
            <v>Figurado</v>
          </cell>
        </row>
        <row r="1947">
          <cell r="A1947">
            <v>1000017982</v>
          </cell>
          <cell r="B1947">
            <v>40583</v>
          </cell>
          <cell r="D1947">
            <v>132.69999999999999</v>
          </cell>
          <cell r="E1947" t="str">
            <v>Figurado</v>
          </cell>
        </row>
        <row r="1948">
          <cell r="A1948">
            <v>1000017983</v>
          </cell>
          <cell r="B1948">
            <v>40583</v>
          </cell>
          <cell r="D1948">
            <v>134.4</v>
          </cell>
          <cell r="E1948" t="str">
            <v>Materia Prima</v>
          </cell>
        </row>
        <row r="1949">
          <cell r="A1949">
            <v>1000017983</v>
          </cell>
          <cell r="B1949">
            <v>40583</v>
          </cell>
          <cell r="D1949">
            <v>480</v>
          </cell>
          <cell r="E1949" t="str">
            <v>Materia Prima</v>
          </cell>
        </row>
        <row r="1950">
          <cell r="A1950">
            <v>1000017983</v>
          </cell>
          <cell r="B1950">
            <v>40583</v>
          </cell>
          <cell r="D1950">
            <v>2600.5</v>
          </cell>
          <cell r="E1950" t="str">
            <v>Figurado</v>
          </cell>
        </row>
        <row r="1951">
          <cell r="A1951">
            <v>1000017983</v>
          </cell>
          <cell r="B1951">
            <v>40583</v>
          </cell>
          <cell r="D1951">
            <v>640.4</v>
          </cell>
          <cell r="E1951" t="str">
            <v>Figurado</v>
          </cell>
        </row>
        <row r="1952">
          <cell r="A1952">
            <v>1000017983</v>
          </cell>
          <cell r="B1952">
            <v>40583</v>
          </cell>
          <cell r="D1952">
            <v>611.20000000000005</v>
          </cell>
          <cell r="E1952" t="str">
            <v>Figurado</v>
          </cell>
        </row>
        <row r="1953">
          <cell r="A1953">
            <v>1000017983</v>
          </cell>
          <cell r="B1953">
            <v>40583</v>
          </cell>
          <cell r="D1953">
            <v>109.3</v>
          </cell>
          <cell r="E1953" t="str">
            <v>Figurado</v>
          </cell>
        </row>
        <row r="1954">
          <cell r="A1954">
            <v>1000017983</v>
          </cell>
          <cell r="B1954">
            <v>40583</v>
          </cell>
          <cell r="D1954">
            <v>29.4</v>
          </cell>
          <cell r="E1954" t="str">
            <v>Figurado</v>
          </cell>
        </row>
        <row r="1955">
          <cell r="A1955">
            <v>1000017984</v>
          </cell>
          <cell r="B1955">
            <v>40583</v>
          </cell>
          <cell r="D1955">
            <v>1411.2</v>
          </cell>
          <cell r="E1955" t="str">
            <v>Materia Prima</v>
          </cell>
        </row>
        <row r="1956">
          <cell r="A1956">
            <v>1000017984</v>
          </cell>
          <cell r="B1956">
            <v>40583</v>
          </cell>
          <cell r="D1956">
            <v>270.5</v>
          </cell>
          <cell r="E1956" t="str">
            <v>Figurado</v>
          </cell>
        </row>
        <row r="1957">
          <cell r="A1957">
            <v>1000017985</v>
          </cell>
          <cell r="B1957">
            <v>40583</v>
          </cell>
          <cell r="D1957">
            <v>100</v>
          </cell>
          <cell r="E1957" t="str">
            <v>Materia Prima</v>
          </cell>
        </row>
        <row r="1958">
          <cell r="A1958">
            <v>1000017988</v>
          </cell>
          <cell r="B1958">
            <v>40583</v>
          </cell>
          <cell r="D1958">
            <v>2772.4</v>
          </cell>
          <cell r="E1958" t="str">
            <v>Figurado</v>
          </cell>
        </row>
        <row r="1959">
          <cell r="A1959">
            <v>1000017988</v>
          </cell>
          <cell r="B1959">
            <v>40583</v>
          </cell>
          <cell r="D1959">
            <v>1959.3</v>
          </cell>
          <cell r="E1959" t="str">
            <v>Figurado</v>
          </cell>
        </row>
        <row r="1960">
          <cell r="A1960">
            <v>1000017988</v>
          </cell>
          <cell r="B1960">
            <v>40583</v>
          </cell>
          <cell r="D1960">
            <v>1393.1</v>
          </cell>
          <cell r="E1960" t="str">
            <v>Figurado</v>
          </cell>
        </row>
        <row r="1961">
          <cell r="A1961">
            <v>1000017988</v>
          </cell>
          <cell r="B1961">
            <v>40583</v>
          </cell>
          <cell r="D1961">
            <v>755.5</v>
          </cell>
          <cell r="E1961" t="str">
            <v>Figurado</v>
          </cell>
        </row>
        <row r="1962">
          <cell r="A1962">
            <v>1000017988</v>
          </cell>
          <cell r="B1962">
            <v>40583</v>
          </cell>
          <cell r="D1962">
            <v>765</v>
          </cell>
          <cell r="E1962" t="str">
            <v>Figurado</v>
          </cell>
        </row>
        <row r="1963">
          <cell r="A1963">
            <v>1000017988</v>
          </cell>
          <cell r="B1963">
            <v>40583</v>
          </cell>
          <cell r="D1963">
            <v>1728</v>
          </cell>
          <cell r="E1963" t="str">
            <v>Figurado</v>
          </cell>
        </row>
        <row r="1964">
          <cell r="A1964">
            <v>1000017989</v>
          </cell>
          <cell r="B1964">
            <v>40583</v>
          </cell>
          <cell r="D1964">
            <v>10571.8</v>
          </cell>
          <cell r="E1964" t="str">
            <v>Figurado</v>
          </cell>
        </row>
        <row r="1965">
          <cell r="A1965">
            <v>1000017990</v>
          </cell>
          <cell r="B1965">
            <v>40583</v>
          </cell>
          <cell r="D1965">
            <v>11752.3</v>
          </cell>
          <cell r="E1965" t="str">
            <v>Figurado</v>
          </cell>
        </row>
        <row r="1966">
          <cell r="A1966">
            <v>1000017991</v>
          </cell>
          <cell r="B1966">
            <v>40583</v>
          </cell>
          <cell r="D1966">
            <v>6358.3</v>
          </cell>
          <cell r="E1966" t="str">
            <v>Figurado</v>
          </cell>
        </row>
        <row r="1967">
          <cell r="A1967">
            <v>1000017994</v>
          </cell>
          <cell r="B1967">
            <v>40583</v>
          </cell>
          <cell r="D1967">
            <v>210.4</v>
          </cell>
          <cell r="E1967" t="str">
            <v>Figurado</v>
          </cell>
        </row>
        <row r="1968">
          <cell r="A1968">
            <v>1000017999</v>
          </cell>
          <cell r="B1968">
            <v>40583</v>
          </cell>
          <cell r="D1968">
            <v>336</v>
          </cell>
          <cell r="E1968" t="str">
            <v>Materia Prima</v>
          </cell>
        </row>
        <row r="1969">
          <cell r="A1969">
            <v>1000017999</v>
          </cell>
          <cell r="B1969">
            <v>40583</v>
          </cell>
          <cell r="D1969">
            <v>48</v>
          </cell>
          <cell r="E1969" t="str">
            <v>Materia Prima</v>
          </cell>
        </row>
        <row r="1970">
          <cell r="A1970">
            <v>1000017999</v>
          </cell>
          <cell r="B1970">
            <v>40583</v>
          </cell>
          <cell r="D1970">
            <v>7.7</v>
          </cell>
          <cell r="E1970" t="str">
            <v>Figurado</v>
          </cell>
        </row>
        <row r="1971">
          <cell r="A1971">
            <v>1000017999</v>
          </cell>
          <cell r="B1971">
            <v>40583</v>
          </cell>
          <cell r="D1971">
            <v>1581.7</v>
          </cell>
          <cell r="E1971" t="str">
            <v>Figurado</v>
          </cell>
        </row>
        <row r="1972">
          <cell r="A1972">
            <v>1000017999</v>
          </cell>
          <cell r="B1972">
            <v>40583</v>
          </cell>
          <cell r="D1972">
            <v>1357.1</v>
          </cell>
          <cell r="E1972" t="str">
            <v>Figurado</v>
          </cell>
        </row>
        <row r="1973">
          <cell r="A1973">
            <v>1000017999</v>
          </cell>
          <cell r="B1973">
            <v>40583</v>
          </cell>
          <cell r="D1973">
            <v>724.2</v>
          </cell>
          <cell r="E1973" t="str">
            <v>Figurado</v>
          </cell>
        </row>
        <row r="1974">
          <cell r="A1974">
            <v>1000017999</v>
          </cell>
          <cell r="B1974">
            <v>40583</v>
          </cell>
          <cell r="D1974">
            <v>157.9</v>
          </cell>
          <cell r="E1974" t="str">
            <v>Figurado</v>
          </cell>
        </row>
        <row r="1975">
          <cell r="A1975">
            <v>1000018000</v>
          </cell>
          <cell r="B1975">
            <v>40583</v>
          </cell>
          <cell r="D1975">
            <v>96</v>
          </cell>
          <cell r="E1975" t="str">
            <v>Materia Prima</v>
          </cell>
        </row>
        <row r="1976">
          <cell r="A1976">
            <v>1000018000</v>
          </cell>
          <cell r="B1976">
            <v>40583</v>
          </cell>
          <cell r="D1976">
            <v>225.3</v>
          </cell>
          <cell r="E1976" t="str">
            <v>Figurado</v>
          </cell>
        </row>
        <row r="1977">
          <cell r="A1977">
            <v>1000018000</v>
          </cell>
          <cell r="B1977">
            <v>40583</v>
          </cell>
          <cell r="D1977">
            <v>335.3</v>
          </cell>
          <cell r="E1977" t="str">
            <v>Figurado</v>
          </cell>
        </row>
        <row r="1978">
          <cell r="A1978">
            <v>1000018001</v>
          </cell>
          <cell r="B1978">
            <v>40583</v>
          </cell>
          <cell r="D1978">
            <v>2025.7</v>
          </cell>
          <cell r="E1978" t="str">
            <v>Figurado</v>
          </cell>
        </row>
        <row r="1979">
          <cell r="A1979">
            <v>1000018001</v>
          </cell>
          <cell r="B1979">
            <v>40583</v>
          </cell>
          <cell r="D1979">
            <v>314.5</v>
          </cell>
          <cell r="E1979" t="str">
            <v>Figurado</v>
          </cell>
        </row>
        <row r="1980">
          <cell r="A1980">
            <v>1000018001</v>
          </cell>
          <cell r="B1980">
            <v>40583</v>
          </cell>
          <cell r="D1980">
            <v>3729.6</v>
          </cell>
          <cell r="E1980" t="str">
            <v>Figurado</v>
          </cell>
        </row>
        <row r="1981">
          <cell r="A1981">
            <v>1000018005</v>
          </cell>
          <cell r="B1981">
            <v>40583</v>
          </cell>
          <cell r="D1981">
            <v>56.2</v>
          </cell>
          <cell r="E1981" t="str">
            <v>Materia Prima</v>
          </cell>
        </row>
        <row r="1982">
          <cell r="A1982">
            <v>1000018005</v>
          </cell>
          <cell r="B1982">
            <v>40583</v>
          </cell>
          <cell r="D1982">
            <v>768.2</v>
          </cell>
          <cell r="E1982" t="str">
            <v>Figurado</v>
          </cell>
        </row>
        <row r="1983">
          <cell r="A1983">
            <v>1000018005</v>
          </cell>
          <cell r="B1983">
            <v>40583</v>
          </cell>
          <cell r="D1983">
            <v>2242.6999999999998</v>
          </cell>
          <cell r="E1983" t="str">
            <v>Figurado</v>
          </cell>
        </row>
        <row r="1984">
          <cell r="A1984">
            <v>1000018005</v>
          </cell>
          <cell r="B1984">
            <v>40583</v>
          </cell>
          <cell r="D1984">
            <v>1177.2</v>
          </cell>
          <cell r="E1984" t="str">
            <v>Figurado</v>
          </cell>
        </row>
        <row r="1985">
          <cell r="A1985">
            <v>1000018005</v>
          </cell>
          <cell r="B1985">
            <v>40583</v>
          </cell>
          <cell r="D1985">
            <v>2231.4</v>
          </cell>
          <cell r="E1985" t="str">
            <v>Figurado</v>
          </cell>
        </row>
        <row r="1986">
          <cell r="A1986">
            <v>1000018005</v>
          </cell>
          <cell r="B1986">
            <v>40583</v>
          </cell>
          <cell r="D1986">
            <v>3738.4</v>
          </cell>
          <cell r="E1986" t="str">
            <v>Figurado</v>
          </cell>
        </row>
        <row r="1987">
          <cell r="A1987">
            <v>1000018006</v>
          </cell>
          <cell r="B1987">
            <v>40583</v>
          </cell>
          <cell r="D1987">
            <v>280.8</v>
          </cell>
          <cell r="E1987" t="str">
            <v>Materia Prima</v>
          </cell>
        </row>
        <row r="1988">
          <cell r="A1988">
            <v>1000018006</v>
          </cell>
          <cell r="B1988">
            <v>40583</v>
          </cell>
          <cell r="D1988">
            <v>4570.5</v>
          </cell>
          <cell r="E1988" t="str">
            <v>Figurado</v>
          </cell>
        </row>
        <row r="1989">
          <cell r="A1989">
            <v>1000018006</v>
          </cell>
          <cell r="B1989">
            <v>40583</v>
          </cell>
          <cell r="D1989">
            <v>1493.4</v>
          </cell>
          <cell r="E1989" t="str">
            <v>Figurado</v>
          </cell>
        </row>
        <row r="1990">
          <cell r="A1990">
            <v>1000018006</v>
          </cell>
          <cell r="B1990">
            <v>40583</v>
          </cell>
          <cell r="D1990">
            <v>1586</v>
          </cell>
          <cell r="E1990" t="str">
            <v>Figurado</v>
          </cell>
        </row>
        <row r="1991">
          <cell r="A1991">
            <v>1000018006</v>
          </cell>
          <cell r="B1991">
            <v>40583</v>
          </cell>
          <cell r="D1991">
            <v>380.1</v>
          </cell>
          <cell r="E1991" t="str">
            <v>Figurado</v>
          </cell>
        </row>
        <row r="1992">
          <cell r="A1992">
            <v>1000018007</v>
          </cell>
          <cell r="B1992">
            <v>40583</v>
          </cell>
          <cell r="D1992">
            <v>60</v>
          </cell>
          <cell r="E1992" t="str">
            <v>Materia Prima</v>
          </cell>
        </row>
        <row r="1993">
          <cell r="A1993">
            <v>1000018007</v>
          </cell>
          <cell r="B1993">
            <v>40583</v>
          </cell>
          <cell r="D1993">
            <v>270</v>
          </cell>
          <cell r="E1993" t="str">
            <v>Materia Prima</v>
          </cell>
        </row>
        <row r="1994">
          <cell r="A1994">
            <v>1000018007</v>
          </cell>
          <cell r="B1994">
            <v>40583</v>
          </cell>
          <cell r="D1994">
            <v>812.9</v>
          </cell>
          <cell r="E1994" t="str">
            <v>Figurado</v>
          </cell>
        </row>
        <row r="1995">
          <cell r="A1995">
            <v>1000018007</v>
          </cell>
          <cell r="B1995">
            <v>40583</v>
          </cell>
          <cell r="D1995">
            <v>864.2</v>
          </cell>
          <cell r="E1995" t="str">
            <v>Figurado</v>
          </cell>
        </row>
        <row r="1996">
          <cell r="A1996">
            <v>1000018007</v>
          </cell>
          <cell r="B1996">
            <v>40583</v>
          </cell>
          <cell r="D1996">
            <v>272.5</v>
          </cell>
          <cell r="E1996" t="str">
            <v>Figurado</v>
          </cell>
        </row>
        <row r="1997">
          <cell r="A1997">
            <v>1000018007</v>
          </cell>
          <cell r="B1997">
            <v>40583</v>
          </cell>
          <cell r="D1997">
            <v>62.4</v>
          </cell>
          <cell r="E1997" t="str">
            <v>Figurado</v>
          </cell>
        </row>
        <row r="1998">
          <cell r="A1998">
            <v>1000018008</v>
          </cell>
          <cell r="B1998">
            <v>40583</v>
          </cell>
          <cell r="D1998">
            <v>2694</v>
          </cell>
          <cell r="E1998" t="str">
            <v>Figurado</v>
          </cell>
        </row>
        <row r="1999">
          <cell r="A1999">
            <v>1000018008</v>
          </cell>
          <cell r="B1999">
            <v>40583</v>
          </cell>
          <cell r="D1999">
            <v>1208.7</v>
          </cell>
          <cell r="E1999" t="str">
            <v>Figurado</v>
          </cell>
        </row>
        <row r="2000">
          <cell r="A2000">
            <v>1000018008</v>
          </cell>
          <cell r="B2000">
            <v>40583</v>
          </cell>
          <cell r="D2000">
            <v>247.9</v>
          </cell>
          <cell r="E2000" t="str">
            <v>Figurado</v>
          </cell>
        </row>
        <row r="2001">
          <cell r="A2001">
            <v>1000018008</v>
          </cell>
          <cell r="B2001">
            <v>40583</v>
          </cell>
          <cell r="D2001">
            <v>462.1</v>
          </cell>
          <cell r="E2001" t="str">
            <v>Figurado</v>
          </cell>
        </row>
        <row r="2002">
          <cell r="A2002">
            <v>1000018008</v>
          </cell>
          <cell r="B2002">
            <v>40583</v>
          </cell>
          <cell r="D2002">
            <v>122.4</v>
          </cell>
          <cell r="E2002" t="str">
            <v>Figurado</v>
          </cell>
        </row>
        <row r="2003">
          <cell r="A2003">
            <v>1000018009</v>
          </cell>
          <cell r="B2003">
            <v>40583</v>
          </cell>
          <cell r="D2003">
            <v>48</v>
          </cell>
          <cell r="E2003" t="str">
            <v>Materia Prima</v>
          </cell>
        </row>
        <row r="2004">
          <cell r="A2004">
            <v>1000018009</v>
          </cell>
          <cell r="B2004">
            <v>40583</v>
          </cell>
          <cell r="D2004">
            <v>74.900000000000006</v>
          </cell>
          <cell r="E2004" t="str">
            <v>Materia Prima</v>
          </cell>
        </row>
        <row r="2005">
          <cell r="A2005">
            <v>1000018009</v>
          </cell>
          <cell r="B2005">
            <v>40583</v>
          </cell>
          <cell r="D2005">
            <v>964.1</v>
          </cell>
          <cell r="E2005" t="str">
            <v>Figurado</v>
          </cell>
        </row>
        <row r="2006">
          <cell r="A2006">
            <v>1000018009</v>
          </cell>
          <cell r="B2006">
            <v>40583</v>
          </cell>
          <cell r="D2006">
            <v>774.7</v>
          </cell>
          <cell r="E2006" t="str">
            <v>Figurado</v>
          </cell>
        </row>
        <row r="2007">
          <cell r="A2007">
            <v>1000018009</v>
          </cell>
          <cell r="B2007">
            <v>40583</v>
          </cell>
          <cell r="D2007">
            <v>30</v>
          </cell>
          <cell r="E2007" t="str">
            <v>Figurado</v>
          </cell>
        </row>
        <row r="2008">
          <cell r="A2008">
            <v>1000018009</v>
          </cell>
          <cell r="B2008">
            <v>40583</v>
          </cell>
          <cell r="D2008">
            <v>76.3</v>
          </cell>
          <cell r="E2008" t="str">
            <v>Figurado</v>
          </cell>
        </row>
        <row r="2009">
          <cell r="A2009">
            <v>1000018010</v>
          </cell>
          <cell r="B2009">
            <v>40584</v>
          </cell>
          <cell r="D2009">
            <v>120</v>
          </cell>
          <cell r="E2009" t="str">
            <v>Materia Prima</v>
          </cell>
        </row>
        <row r="2010">
          <cell r="A2010">
            <v>1000018010</v>
          </cell>
          <cell r="B2010">
            <v>40584</v>
          </cell>
          <cell r="D2010">
            <v>1293.5999999999999</v>
          </cell>
          <cell r="E2010" t="str">
            <v>Figurado</v>
          </cell>
        </row>
        <row r="2011">
          <cell r="A2011">
            <v>1000018010</v>
          </cell>
          <cell r="B2011">
            <v>40584</v>
          </cell>
          <cell r="D2011">
            <v>3807.2</v>
          </cell>
          <cell r="E2011" t="str">
            <v>Figurado</v>
          </cell>
        </row>
        <row r="2012">
          <cell r="A2012">
            <v>1000018010</v>
          </cell>
          <cell r="B2012">
            <v>40584</v>
          </cell>
          <cell r="D2012">
            <v>3468.9</v>
          </cell>
          <cell r="E2012" t="str">
            <v>Figurado</v>
          </cell>
        </row>
        <row r="2013">
          <cell r="A2013">
            <v>1000018010</v>
          </cell>
          <cell r="B2013">
            <v>40584</v>
          </cell>
          <cell r="D2013">
            <v>1588.7</v>
          </cell>
          <cell r="E2013" t="str">
            <v>Figurado</v>
          </cell>
        </row>
        <row r="2014">
          <cell r="A2014">
            <v>1000018012</v>
          </cell>
          <cell r="B2014">
            <v>40584</v>
          </cell>
          <cell r="D2014">
            <v>6699</v>
          </cell>
          <cell r="E2014" t="str">
            <v>Figurado</v>
          </cell>
        </row>
        <row r="2015">
          <cell r="A2015">
            <v>1000018016</v>
          </cell>
          <cell r="B2015">
            <v>40584</v>
          </cell>
          <cell r="D2015">
            <v>189</v>
          </cell>
          <cell r="E2015" t="str">
            <v>Materia Prima</v>
          </cell>
        </row>
        <row r="2016">
          <cell r="A2016">
            <v>1000018019</v>
          </cell>
          <cell r="B2016">
            <v>40584</v>
          </cell>
          <cell r="D2016">
            <v>60.5</v>
          </cell>
          <cell r="E2016" t="str">
            <v>Materia Prima</v>
          </cell>
        </row>
        <row r="2017">
          <cell r="A2017">
            <v>1000018019</v>
          </cell>
          <cell r="B2017">
            <v>40584</v>
          </cell>
          <cell r="D2017">
            <v>204</v>
          </cell>
          <cell r="E2017" t="str">
            <v>Materia Prima</v>
          </cell>
        </row>
        <row r="2018">
          <cell r="A2018">
            <v>1000018019</v>
          </cell>
          <cell r="B2018">
            <v>40584</v>
          </cell>
          <cell r="D2018">
            <v>3068.5</v>
          </cell>
          <cell r="E2018" t="str">
            <v>Figurado</v>
          </cell>
        </row>
        <row r="2019">
          <cell r="A2019">
            <v>1000018019</v>
          </cell>
          <cell r="B2019">
            <v>40584</v>
          </cell>
          <cell r="D2019">
            <v>314.2</v>
          </cell>
          <cell r="E2019" t="str">
            <v>Figurado</v>
          </cell>
        </row>
        <row r="2020">
          <cell r="A2020">
            <v>1000018019</v>
          </cell>
          <cell r="B2020">
            <v>40584</v>
          </cell>
          <cell r="D2020">
            <v>5745.4</v>
          </cell>
          <cell r="E2020" t="str">
            <v>Figurado</v>
          </cell>
        </row>
        <row r="2021">
          <cell r="A2021">
            <v>1000018019</v>
          </cell>
          <cell r="B2021">
            <v>40584</v>
          </cell>
          <cell r="D2021">
            <v>564.79999999999995</v>
          </cell>
          <cell r="E2021" t="str">
            <v>Figurado</v>
          </cell>
        </row>
        <row r="2022">
          <cell r="A2022">
            <v>1000018019</v>
          </cell>
          <cell r="B2022">
            <v>40584</v>
          </cell>
          <cell r="D2022">
            <v>635</v>
          </cell>
          <cell r="E2022" t="str">
            <v>Figurado</v>
          </cell>
        </row>
        <row r="2023">
          <cell r="A2023">
            <v>1000018019</v>
          </cell>
          <cell r="B2023">
            <v>40584</v>
          </cell>
          <cell r="D2023">
            <v>848</v>
          </cell>
          <cell r="E2023" t="str">
            <v>Figurado</v>
          </cell>
        </row>
        <row r="2024">
          <cell r="A2024">
            <v>1000018020</v>
          </cell>
          <cell r="B2024">
            <v>40584</v>
          </cell>
          <cell r="D2024">
            <v>40.299999999999997</v>
          </cell>
          <cell r="E2024" t="str">
            <v>Materia Prima</v>
          </cell>
        </row>
        <row r="2025">
          <cell r="A2025">
            <v>1000018020</v>
          </cell>
          <cell r="B2025">
            <v>40584</v>
          </cell>
          <cell r="D2025">
            <v>96.9</v>
          </cell>
          <cell r="E2025" t="str">
            <v>Figurado</v>
          </cell>
        </row>
        <row r="2026">
          <cell r="A2026">
            <v>1000018020</v>
          </cell>
          <cell r="B2026">
            <v>40584</v>
          </cell>
          <cell r="D2026">
            <v>2544.1999999999998</v>
          </cell>
          <cell r="E2026" t="str">
            <v>Figurado</v>
          </cell>
        </row>
        <row r="2027">
          <cell r="A2027">
            <v>1000018020</v>
          </cell>
          <cell r="B2027">
            <v>40584</v>
          </cell>
          <cell r="D2027">
            <v>1197.3</v>
          </cell>
          <cell r="E2027" t="str">
            <v>Figurado</v>
          </cell>
        </row>
        <row r="2028">
          <cell r="A2028">
            <v>1000018020</v>
          </cell>
          <cell r="B2028">
            <v>40584</v>
          </cell>
          <cell r="D2028">
            <v>915.8</v>
          </cell>
          <cell r="E2028" t="str">
            <v>Figurado</v>
          </cell>
        </row>
        <row r="2029">
          <cell r="A2029">
            <v>1000018020</v>
          </cell>
          <cell r="B2029">
            <v>40584</v>
          </cell>
          <cell r="D2029">
            <v>301.7</v>
          </cell>
          <cell r="E2029" t="str">
            <v>Figurado</v>
          </cell>
        </row>
        <row r="2030">
          <cell r="A2030">
            <v>1000018020</v>
          </cell>
          <cell r="B2030">
            <v>40584</v>
          </cell>
          <cell r="D2030">
            <v>110.8</v>
          </cell>
          <cell r="E2030" t="str">
            <v>Figurado</v>
          </cell>
        </row>
        <row r="2031">
          <cell r="A2031">
            <v>1000018020</v>
          </cell>
          <cell r="B2031">
            <v>40584</v>
          </cell>
          <cell r="D2031">
            <v>50.4</v>
          </cell>
          <cell r="E2031" t="str">
            <v>Figurado</v>
          </cell>
        </row>
        <row r="2032">
          <cell r="A2032">
            <v>1000018021</v>
          </cell>
          <cell r="B2032">
            <v>40584</v>
          </cell>
          <cell r="D2032">
            <v>3367.4</v>
          </cell>
          <cell r="E2032" t="str">
            <v>Figurado</v>
          </cell>
        </row>
        <row r="2033">
          <cell r="A2033">
            <v>1000018022</v>
          </cell>
          <cell r="B2033">
            <v>40584</v>
          </cell>
          <cell r="D2033">
            <v>9689.2000000000007</v>
          </cell>
          <cell r="E2033" t="str">
            <v>Figurado</v>
          </cell>
        </row>
        <row r="2034">
          <cell r="A2034">
            <v>1000018023</v>
          </cell>
          <cell r="B2034">
            <v>40584</v>
          </cell>
          <cell r="D2034">
            <v>5914.2</v>
          </cell>
          <cell r="E2034" t="str">
            <v>Figurado</v>
          </cell>
        </row>
        <row r="2035">
          <cell r="A2035">
            <v>1000018023</v>
          </cell>
          <cell r="B2035">
            <v>40584</v>
          </cell>
          <cell r="D2035">
            <v>609.29999999999995</v>
          </cell>
          <cell r="E2035" t="str">
            <v>Figurado</v>
          </cell>
        </row>
        <row r="2036">
          <cell r="A2036">
            <v>1000018023</v>
          </cell>
          <cell r="B2036">
            <v>40584</v>
          </cell>
          <cell r="D2036">
            <v>477.4</v>
          </cell>
          <cell r="E2036" t="str">
            <v>Figurado</v>
          </cell>
        </row>
        <row r="2037">
          <cell r="A2037">
            <v>1000018024</v>
          </cell>
          <cell r="B2037">
            <v>40584</v>
          </cell>
          <cell r="D2037">
            <v>80.599999999999994</v>
          </cell>
          <cell r="E2037" t="str">
            <v>Materia Prima</v>
          </cell>
        </row>
        <row r="2038">
          <cell r="A2038">
            <v>1000018024</v>
          </cell>
          <cell r="B2038">
            <v>40584</v>
          </cell>
          <cell r="D2038">
            <v>192</v>
          </cell>
          <cell r="E2038" t="str">
            <v>Materia Prima</v>
          </cell>
        </row>
        <row r="2039">
          <cell r="A2039">
            <v>1000018024</v>
          </cell>
          <cell r="B2039">
            <v>40584</v>
          </cell>
          <cell r="D2039">
            <v>198.7</v>
          </cell>
          <cell r="E2039" t="str">
            <v>Figurado</v>
          </cell>
        </row>
        <row r="2040">
          <cell r="A2040">
            <v>1000018024</v>
          </cell>
          <cell r="B2040">
            <v>40584</v>
          </cell>
          <cell r="D2040">
            <v>716.4</v>
          </cell>
          <cell r="E2040" t="str">
            <v>Figurado</v>
          </cell>
        </row>
        <row r="2041">
          <cell r="A2041">
            <v>1000018024</v>
          </cell>
          <cell r="B2041">
            <v>40584</v>
          </cell>
          <cell r="D2041">
            <v>1163.5999999999999</v>
          </cell>
          <cell r="E2041" t="str">
            <v>Figurado</v>
          </cell>
        </row>
        <row r="2042">
          <cell r="A2042">
            <v>1000018024</v>
          </cell>
          <cell r="B2042">
            <v>40584</v>
          </cell>
          <cell r="D2042">
            <v>388.2</v>
          </cell>
          <cell r="E2042" t="str">
            <v>Figurado</v>
          </cell>
        </row>
        <row r="2043">
          <cell r="A2043">
            <v>1000018024</v>
          </cell>
          <cell r="B2043">
            <v>40584</v>
          </cell>
          <cell r="D2043">
            <v>309.60000000000002</v>
          </cell>
          <cell r="E2043" t="str">
            <v>Figurado</v>
          </cell>
        </row>
        <row r="2044">
          <cell r="A2044">
            <v>1000018024</v>
          </cell>
          <cell r="B2044">
            <v>40584</v>
          </cell>
          <cell r="D2044">
            <v>80.8</v>
          </cell>
          <cell r="E2044" t="str">
            <v>Figurado</v>
          </cell>
        </row>
        <row r="2045">
          <cell r="A2045">
            <v>1000018024</v>
          </cell>
          <cell r="B2045">
            <v>40584</v>
          </cell>
          <cell r="D2045">
            <v>474.4</v>
          </cell>
          <cell r="E2045" t="str">
            <v>Figurado</v>
          </cell>
        </row>
        <row r="2046">
          <cell r="A2046">
            <v>1000018026</v>
          </cell>
          <cell r="B2046">
            <v>40584</v>
          </cell>
          <cell r="D2046">
            <v>10302.799999999999</v>
          </cell>
          <cell r="E2046" t="str">
            <v>Figurado</v>
          </cell>
        </row>
        <row r="2047">
          <cell r="A2047">
            <v>1000017565</v>
          </cell>
          <cell r="B2047">
            <v>40569</v>
          </cell>
          <cell r="D2047">
            <v>1102.3</v>
          </cell>
          <cell r="E2047" t="str">
            <v>Figurado</v>
          </cell>
        </row>
        <row r="2048">
          <cell r="A2048">
            <v>1000017897</v>
          </cell>
          <cell r="B2048">
            <v>40579</v>
          </cell>
          <cell r="D2048">
            <v>58.5</v>
          </cell>
          <cell r="E2048" t="str">
            <v>Figurado</v>
          </cell>
        </row>
        <row r="2049">
          <cell r="A2049">
            <v>1000017898</v>
          </cell>
          <cell r="B2049">
            <v>40579</v>
          </cell>
          <cell r="D2049">
            <v>58.5</v>
          </cell>
          <cell r="E2049" t="str">
            <v>Figurado</v>
          </cell>
        </row>
        <row r="2050">
          <cell r="A2050">
            <v>1000017899</v>
          </cell>
          <cell r="B2050">
            <v>40579</v>
          </cell>
          <cell r="D2050">
            <v>71.5</v>
          </cell>
          <cell r="E2050" t="str">
            <v>Figurado</v>
          </cell>
        </row>
        <row r="2051">
          <cell r="A2051">
            <v>1000017900</v>
          </cell>
          <cell r="B2051">
            <v>40579</v>
          </cell>
          <cell r="D2051">
            <v>71.5</v>
          </cell>
          <cell r="E2051" t="str">
            <v>Figurado</v>
          </cell>
        </row>
        <row r="2052">
          <cell r="A2052">
            <v>1000017901</v>
          </cell>
          <cell r="B2052">
            <v>40579</v>
          </cell>
          <cell r="D2052">
            <v>2283.4</v>
          </cell>
          <cell r="E2052" t="str">
            <v>Figurado</v>
          </cell>
        </row>
        <row r="2053">
          <cell r="A2053">
            <v>1000017901</v>
          </cell>
          <cell r="B2053">
            <v>40579</v>
          </cell>
          <cell r="D2053">
            <v>34.9</v>
          </cell>
          <cell r="E2053" t="str">
            <v>Figurado</v>
          </cell>
        </row>
        <row r="2054">
          <cell r="A2054">
            <v>1000017902</v>
          </cell>
          <cell r="B2054">
            <v>40579</v>
          </cell>
          <cell r="D2054">
            <v>594.70000000000005</v>
          </cell>
          <cell r="E2054" t="str">
            <v>Figurado</v>
          </cell>
        </row>
        <row r="2055">
          <cell r="A2055">
            <v>1000017902</v>
          </cell>
          <cell r="B2055">
            <v>40579</v>
          </cell>
          <cell r="D2055">
            <v>2544</v>
          </cell>
          <cell r="E2055" t="str">
            <v>Figurado</v>
          </cell>
        </row>
        <row r="2056">
          <cell r="A2056">
            <v>1000017902</v>
          </cell>
          <cell r="B2056">
            <v>40579</v>
          </cell>
          <cell r="D2056">
            <v>93.6</v>
          </cell>
          <cell r="E2056" t="str">
            <v>Figurado</v>
          </cell>
        </row>
        <row r="2057">
          <cell r="A2057">
            <v>1000017929</v>
          </cell>
          <cell r="B2057">
            <v>40581</v>
          </cell>
          <cell r="D2057">
            <v>133.80000000000001</v>
          </cell>
          <cell r="E2057" t="str">
            <v>Figurado</v>
          </cell>
        </row>
        <row r="2058">
          <cell r="A2058">
            <v>1000017929</v>
          </cell>
          <cell r="B2058">
            <v>40581</v>
          </cell>
          <cell r="D2058">
            <v>9193.2999999999993</v>
          </cell>
          <cell r="E2058" t="str">
            <v>Figurado</v>
          </cell>
        </row>
        <row r="2059">
          <cell r="A2059">
            <v>1000017967</v>
          </cell>
          <cell r="B2059">
            <v>40582</v>
          </cell>
          <cell r="D2059">
            <v>33716</v>
          </cell>
          <cell r="E2059" t="str">
            <v>Materia Prima</v>
          </cell>
        </row>
        <row r="2060">
          <cell r="A2060">
            <v>1000017986</v>
          </cell>
          <cell r="B2060">
            <v>40583</v>
          </cell>
          <cell r="D2060">
            <v>1.4</v>
          </cell>
          <cell r="E2060" t="str">
            <v>Figurado</v>
          </cell>
        </row>
        <row r="2061">
          <cell r="A2061">
            <v>1000017986</v>
          </cell>
          <cell r="B2061">
            <v>40583</v>
          </cell>
          <cell r="D2061">
            <v>1844.1</v>
          </cell>
          <cell r="E2061" t="str">
            <v>Figurado</v>
          </cell>
        </row>
        <row r="2062">
          <cell r="A2062">
            <v>1000017986</v>
          </cell>
          <cell r="B2062">
            <v>40583</v>
          </cell>
          <cell r="D2062">
            <v>776.4</v>
          </cell>
          <cell r="E2062" t="str">
            <v>Figurado</v>
          </cell>
        </row>
        <row r="2063">
          <cell r="A2063">
            <v>1000017986</v>
          </cell>
          <cell r="B2063">
            <v>40583</v>
          </cell>
          <cell r="D2063">
            <v>1080.0999999999999</v>
          </cell>
          <cell r="E2063" t="str">
            <v>Figurado</v>
          </cell>
        </row>
        <row r="2064">
          <cell r="A2064">
            <v>1000017986</v>
          </cell>
          <cell r="B2064">
            <v>40583</v>
          </cell>
          <cell r="D2064">
            <v>587.4</v>
          </cell>
          <cell r="E2064" t="str">
            <v>Figurado</v>
          </cell>
        </row>
        <row r="2065">
          <cell r="A2065">
            <v>1000017986</v>
          </cell>
          <cell r="B2065">
            <v>40583</v>
          </cell>
          <cell r="D2065">
            <v>999.1</v>
          </cell>
          <cell r="E2065" t="str">
            <v>Figurado</v>
          </cell>
        </row>
        <row r="2066">
          <cell r="A2066">
            <v>1000017986</v>
          </cell>
          <cell r="B2066">
            <v>40583</v>
          </cell>
          <cell r="D2066">
            <v>1350.4</v>
          </cell>
          <cell r="E2066" t="str">
            <v>Figurado</v>
          </cell>
        </row>
        <row r="2067">
          <cell r="A2067">
            <v>1000017987</v>
          </cell>
          <cell r="B2067">
            <v>40583</v>
          </cell>
          <cell r="D2067">
            <v>180</v>
          </cell>
          <cell r="E2067" t="str">
            <v>Materia Prima</v>
          </cell>
        </row>
        <row r="2068">
          <cell r="A2068">
            <v>1000017987</v>
          </cell>
          <cell r="B2068">
            <v>40583</v>
          </cell>
          <cell r="D2068">
            <v>280.8</v>
          </cell>
          <cell r="E2068" t="str">
            <v>Materia Prima</v>
          </cell>
        </row>
        <row r="2069">
          <cell r="A2069">
            <v>1000018025</v>
          </cell>
          <cell r="B2069">
            <v>40584</v>
          </cell>
          <cell r="D2069">
            <v>161.30000000000001</v>
          </cell>
          <cell r="E2069" t="str">
            <v>Materia Prima</v>
          </cell>
        </row>
        <row r="2070">
          <cell r="A2070">
            <v>1000018025</v>
          </cell>
          <cell r="B2070">
            <v>40584</v>
          </cell>
          <cell r="D2070">
            <v>404.5</v>
          </cell>
          <cell r="E2070" t="str">
            <v>Figurado</v>
          </cell>
        </row>
        <row r="2071">
          <cell r="A2071">
            <v>1000018025</v>
          </cell>
          <cell r="B2071">
            <v>40584</v>
          </cell>
          <cell r="D2071">
            <v>2744.7</v>
          </cell>
          <cell r="E2071" t="str">
            <v>Figurado</v>
          </cell>
        </row>
        <row r="2072">
          <cell r="A2072">
            <v>1000018025</v>
          </cell>
          <cell r="B2072">
            <v>40584</v>
          </cell>
          <cell r="D2072">
            <v>2196.8000000000002</v>
          </cell>
          <cell r="E2072" t="str">
            <v>Figurado</v>
          </cell>
        </row>
        <row r="2073">
          <cell r="A2073">
            <v>1000018025</v>
          </cell>
          <cell r="B2073">
            <v>40584</v>
          </cell>
          <cell r="D2073">
            <v>1608.3</v>
          </cell>
          <cell r="E2073" t="str">
            <v>Figurado</v>
          </cell>
        </row>
        <row r="2074">
          <cell r="A2074">
            <v>1000018025</v>
          </cell>
          <cell r="B2074">
            <v>40584</v>
          </cell>
          <cell r="D2074">
            <v>966.9</v>
          </cell>
          <cell r="E2074" t="str">
            <v>Figurado</v>
          </cell>
        </row>
        <row r="2075">
          <cell r="A2075">
            <v>1000018025</v>
          </cell>
          <cell r="B2075">
            <v>40584</v>
          </cell>
          <cell r="D2075">
            <v>207.8</v>
          </cell>
          <cell r="E2075" t="str">
            <v>Figurado</v>
          </cell>
        </row>
        <row r="2076">
          <cell r="A2076">
            <v>1000018025</v>
          </cell>
          <cell r="B2076">
            <v>40584</v>
          </cell>
          <cell r="D2076">
            <v>72</v>
          </cell>
          <cell r="E2076" t="str">
            <v>Figurado</v>
          </cell>
        </row>
        <row r="2077">
          <cell r="A2077">
            <v>1000018027</v>
          </cell>
          <cell r="B2077">
            <v>40584</v>
          </cell>
          <cell r="D2077">
            <v>8306.9599999999991</v>
          </cell>
          <cell r="E2077" t="str">
            <v>Mallas</v>
          </cell>
        </row>
        <row r="2078">
          <cell r="A2078">
            <v>1000018029</v>
          </cell>
          <cell r="B2078">
            <v>40584</v>
          </cell>
          <cell r="D2078">
            <v>143.26400000000001</v>
          </cell>
          <cell r="E2078" t="str">
            <v>Materia Prima</v>
          </cell>
        </row>
        <row r="2079">
          <cell r="A2079">
            <v>1000018030</v>
          </cell>
          <cell r="B2079">
            <v>40584</v>
          </cell>
          <cell r="D2079">
            <v>16.8</v>
          </cell>
          <cell r="E2079" t="str">
            <v>Materia Prima</v>
          </cell>
        </row>
        <row r="2080">
          <cell r="A2080">
            <v>1000018031</v>
          </cell>
          <cell r="B2080">
            <v>40584</v>
          </cell>
          <cell r="D2080">
            <v>16.8</v>
          </cell>
          <cell r="E2080" t="str">
            <v>Materia Prima</v>
          </cell>
        </row>
        <row r="2081">
          <cell r="A2081">
            <v>1000018032</v>
          </cell>
          <cell r="B2081">
            <v>40584</v>
          </cell>
          <cell r="D2081">
            <v>16.8</v>
          </cell>
          <cell r="E2081" t="str">
            <v>Materia Prima</v>
          </cell>
        </row>
        <row r="2082">
          <cell r="A2082">
            <v>1000018033</v>
          </cell>
          <cell r="B2082">
            <v>40584</v>
          </cell>
          <cell r="D2082">
            <v>16.8</v>
          </cell>
          <cell r="E2082" t="str">
            <v>Materia Prima</v>
          </cell>
        </row>
        <row r="2083">
          <cell r="A2083">
            <v>1000018034</v>
          </cell>
          <cell r="B2083">
            <v>40584</v>
          </cell>
          <cell r="D2083">
            <v>390</v>
          </cell>
          <cell r="E2083" t="str">
            <v>Mallas</v>
          </cell>
        </row>
        <row r="2084">
          <cell r="A2084">
            <v>1000018035</v>
          </cell>
          <cell r="B2084">
            <v>40584</v>
          </cell>
          <cell r="D2084">
            <v>344</v>
          </cell>
          <cell r="E2084" t="str">
            <v>Mallas</v>
          </cell>
        </row>
        <row r="2085">
          <cell r="A2085">
            <v>1000018036</v>
          </cell>
          <cell r="B2085">
            <v>40584</v>
          </cell>
          <cell r="D2085">
            <v>390</v>
          </cell>
          <cell r="E2085" t="str">
            <v>Mallas</v>
          </cell>
        </row>
        <row r="2086">
          <cell r="A2086">
            <v>1000018037</v>
          </cell>
          <cell r="B2086">
            <v>40584</v>
          </cell>
          <cell r="D2086">
            <v>315</v>
          </cell>
          <cell r="E2086" t="str">
            <v>Mallas</v>
          </cell>
        </row>
        <row r="2087">
          <cell r="A2087">
            <v>1000018038</v>
          </cell>
          <cell r="B2087">
            <v>40584</v>
          </cell>
          <cell r="D2087">
            <v>315</v>
          </cell>
          <cell r="E2087" t="str">
            <v>Mallas</v>
          </cell>
        </row>
        <row r="2088">
          <cell r="A2088">
            <v>1000018041</v>
          </cell>
          <cell r="B2088">
            <v>40585</v>
          </cell>
          <cell r="D2088">
            <v>26.9</v>
          </cell>
          <cell r="E2088" t="str">
            <v>Materia Prima</v>
          </cell>
        </row>
        <row r="2089">
          <cell r="A2089">
            <v>1000018041</v>
          </cell>
          <cell r="B2089">
            <v>40585</v>
          </cell>
          <cell r="D2089">
            <v>7.1</v>
          </cell>
          <cell r="E2089" t="str">
            <v>Figurado</v>
          </cell>
        </row>
        <row r="2090">
          <cell r="A2090">
            <v>1000018041</v>
          </cell>
          <cell r="B2090">
            <v>40585</v>
          </cell>
          <cell r="D2090">
            <v>2160</v>
          </cell>
          <cell r="E2090" t="str">
            <v>Figurado</v>
          </cell>
        </row>
        <row r="2091">
          <cell r="A2091">
            <v>1000018042</v>
          </cell>
          <cell r="B2091">
            <v>40585</v>
          </cell>
          <cell r="D2091">
            <v>4192.6000000000004</v>
          </cell>
          <cell r="E2091" t="str">
            <v>Figurado</v>
          </cell>
        </row>
        <row r="2092">
          <cell r="A2092">
            <v>1000018043</v>
          </cell>
          <cell r="B2092">
            <v>40585</v>
          </cell>
          <cell r="D2092">
            <v>1803</v>
          </cell>
          <cell r="E2092" t="str">
            <v>Mallas</v>
          </cell>
        </row>
        <row r="2093">
          <cell r="A2093">
            <v>1000018044</v>
          </cell>
          <cell r="B2093">
            <v>40585</v>
          </cell>
          <cell r="D2093">
            <v>12049.8</v>
          </cell>
          <cell r="E2093" t="str">
            <v>Mallas</v>
          </cell>
        </row>
        <row r="2094">
          <cell r="A2094">
            <v>1000018045</v>
          </cell>
          <cell r="B2094">
            <v>40585</v>
          </cell>
          <cell r="D2094">
            <v>26.9</v>
          </cell>
          <cell r="E2094" t="str">
            <v>Materia Prima</v>
          </cell>
        </row>
        <row r="2095">
          <cell r="A2095">
            <v>1000018045</v>
          </cell>
          <cell r="B2095">
            <v>40585</v>
          </cell>
          <cell r="D2095">
            <v>17.8</v>
          </cell>
          <cell r="E2095" t="str">
            <v>Figurado</v>
          </cell>
        </row>
        <row r="2096">
          <cell r="A2096">
            <v>1000018045</v>
          </cell>
          <cell r="B2096">
            <v>40585</v>
          </cell>
          <cell r="D2096">
            <v>6110.7</v>
          </cell>
          <cell r="E2096" t="str">
            <v>Figurado</v>
          </cell>
        </row>
        <row r="2097">
          <cell r="A2097">
            <v>1000018046</v>
          </cell>
          <cell r="B2097">
            <v>40585</v>
          </cell>
          <cell r="D2097">
            <v>995.1</v>
          </cell>
          <cell r="E2097" t="str">
            <v>Figurado</v>
          </cell>
        </row>
        <row r="2098">
          <cell r="A2098">
            <v>1000018047</v>
          </cell>
          <cell r="B2098">
            <v>40585</v>
          </cell>
          <cell r="D2098">
            <v>1276.5999999999999</v>
          </cell>
          <cell r="E2098" t="str">
            <v>Figurado</v>
          </cell>
        </row>
        <row r="2099">
          <cell r="A2099">
            <v>1000018048</v>
          </cell>
          <cell r="B2099">
            <v>40585</v>
          </cell>
          <cell r="D2099">
            <v>20.7</v>
          </cell>
          <cell r="E2099" t="str">
            <v>Figurado</v>
          </cell>
        </row>
        <row r="2100">
          <cell r="A2100">
            <v>1000018048</v>
          </cell>
          <cell r="B2100">
            <v>40585</v>
          </cell>
          <cell r="D2100">
            <v>719.3</v>
          </cell>
          <cell r="E2100" t="str">
            <v>Figurado</v>
          </cell>
        </row>
        <row r="2101">
          <cell r="A2101">
            <v>1000018048</v>
          </cell>
          <cell r="B2101">
            <v>40585</v>
          </cell>
          <cell r="D2101">
            <v>23.2</v>
          </cell>
          <cell r="E2101" t="str">
            <v>Figurado</v>
          </cell>
        </row>
        <row r="2102">
          <cell r="A2102">
            <v>1000018048</v>
          </cell>
          <cell r="B2102">
            <v>40585</v>
          </cell>
          <cell r="D2102">
            <v>100.8</v>
          </cell>
          <cell r="E2102" t="str">
            <v>Figurado</v>
          </cell>
        </row>
        <row r="2103">
          <cell r="A2103">
            <v>1000018048</v>
          </cell>
          <cell r="B2103">
            <v>40585</v>
          </cell>
          <cell r="D2103">
            <v>35.1</v>
          </cell>
          <cell r="E2103" t="str">
            <v>Figurado</v>
          </cell>
        </row>
        <row r="2104">
          <cell r="A2104">
            <v>1000018048</v>
          </cell>
          <cell r="B2104">
            <v>40585</v>
          </cell>
          <cell r="D2104">
            <v>323.10000000000002</v>
          </cell>
          <cell r="E2104" t="str">
            <v>Figurado</v>
          </cell>
        </row>
        <row r="2105">
          <cell r="A2105">
            <v>1000018049</v>
          </cell>
          <cell r="B2105">
            <v>40585</v>
          </cell>
          <cell r="D2105">
            <v>3825.5</v>
          </cell>
          <cell r="E2105" t="str">
            <v>Figurado</v>
          </cell>
        </row>
        <row r="2106">
          <cell r="A2106">
            <v>1000018049</v>
          </cell>
          <cell r="B2106">
            <v>40585</v>
          </cell>
          <cell r="D2106">
            <v>3583.2</v>
          </cell>
          <cell r="E2106" t="str">
            <v>Figurado</v>
          </cell>
        </row>
        <row r="2107">
          <cell r="A2107">
            <v>1000018051</v>
          </cell>
          <cell r="B2107">
            <v>40585</v>
          </cell>
          <cell r="D2107">
            <v>806.4</v>
          </cell>
          <cell r="E2107" t="str">
            <v>Materia Prima</v>
          </cell>
        </row>
        <row r="2108">
          <cell r="A2108">
            <v>1000018051</v>
          </cell>
          <cell r="B2108">
            <v>40585</v>
          </cell>
          <cell r="D2108">
            <v>1104.3</v>
          </cell>
          <cell r="E2108" t="str">
            <v>Figurado</v>
          </cell>
        </row>
        <row r="2109">
          <cell r="A2109">
            <v>1000018051</v>
          </cell>
          <cell r="B2109">
            <v>40585</v>
          </cell>
          <cell r="D2109">
            <v>3786.2</v>
          </cell>
          <cell r="E2109" t="str">
            <v>Figurado</v>
          </cell>
        </row>
        <row r="2110">
          <cell r="A2110">
            <v>1000018052</v>
          </cell>
          <cell r="B2110">
            <v>40585</v>
          </cell>
          <cell r="D2110">
            <v>108</v>
          </cell>
          <cell r="E2110" t="str">
            <v>Materia Prima</v>
          </cell>
        </row>
        <row r="2111">
          <cell r="A2111">
            <v>1000018052</v>
          </cell>
          <cell r="B2111">
            <v>40585</v>
          </cell>
          <cell r="D2111">
            <v>7081.8</v>
          </cell>
          <cell r="E2111" t="str">
            <v>Figurado</v>
          </cell>
        </row>
        <row r="2112">
          <cell r="A2112">
            <v>1000018052</v>
          </cell>
          <cell r="B2112">
            <v>40585</v>
          </cell>
          <cell r="D2112">
            <v>4186</v>
          </cell>
          <cell r="E2112" t="str">
            <v>Figurado</v>
          </cell>
        </row>
        <row r="2113">
          <cell r="A2113">
            <v>1000018053</v>
          </cell>
          <cell r="B2113">
            <v>40585</v>
          </cell>
          <cell r="D2113">
            <v>13319.6</v>
          </cell>
          <cell r="E2113" t="str">
            <v>Figurado</v>
          </cell>
        </row>
        <row r="2114">
          <cell r="A2114">
            <v>1000018055</v>
          </cell>
          <cell r="B2114">
            <v>40585</v>
          </cell>
          <cell r="D2114">
            <v>14.8</v>
          </cell>
          <cell r="E2114" t="str">
            <v>Figurado</v>
          </cell>
        </row>
        <row r="2115">
          <cell r="A2115">
            <v>1000018056</v>
          </cell>
          <cell r="B2115">
            <v>40585</v>
          </cell>
          <cell r="D2115">
            <v>3090.3</v>
          </cell>
          <cell r="E2115" t="str">
            <v>Figurado</v>
          </cell>
        </row>
        <row r="2116">
          <cell r="A2116">
            <v>1000018056</v>
          </cell>
          <cell r="B2116">
            <v>40585</v>
          </cell>
          <cell r="D2116">
            <v>939.6</v>
          </cell>
          <cell r="E2116" t="str">
            <v>Figurado</v>
          </cell>
        </row>
        <row r="2117">
          <cell r="A2117">
            <v>1000018056</v>
          </cell>
          <cell r="B2117">
            <v>40585</v>
          </cell>
          <cell r="D2117">
            <v>1561.2</v>
          </cell>
          <cell r="E2117" t="str">
            <v>Figurado</v>
          </cell>
        </row>
        <row r="2118">
          <cell r="A2118">
            <v>1000018056</v>
          </cell>
          <cell r="B2118">
            <v>40585</v>
          </cell>
          <cell r="D2118">
            <v>5826.6</v>
          </cell>
          <cell r="E2118" t="str">
            <v>Figurado</v>
          </cell>
        </row>
        <row r="2119">
          <cell r="A2119">
            <v>1000018057</v>
          </cell>
          <cell r="B2119">
            <v>40585</v>
          </cell>
          <cell r="D2119">
            <v>11713</v>
          </cell>
          <cell r="E2119" t="str">
            <v>Materia Prima</v>
          </cell>
        </row>
        <row r="2120">
          <cell r="A2120">
            <v>1000018063</v>
          </cell>
          <cell r="B2120">
            <v>40585</v>
          </cell>
          <cell r="D2120">
            <v>620.79999999999995</v>
          </cell>
          <cell r="E2120" t="str">
            <v>Figurado</v>
          </cell>
        </row>
        <row r="2121">
          <cell r="A2121">
            <v>1000018064</v>
          </cell>
          <cell r="B2121">
            <v>40585</v>
          </cell>
          <cell r="D2121">
            <v>653.20000000000005</v>
          </cell>
          <cell r="E2121" t="str">
            <v>Figurado</v>
          </cell>
        </row>
        <row r="2122">
          <cell r="A2122">
            <v>1000018065</v>
          </cell>
          <cell r="B2122">
            <v>40585</v>
          </cell>
          <cell r="D2122">
            <v>1030.8</v>
          </cell>
          <cell r="E2122" t="str">
            <v>Figurado</v>
          </cell>
        </row>
        <row r="2123">
          <cell r="A2123">
            <v>1000018065</v>
          </cell>
          <cell r="B2123">
            <v>40585</v>
          </cell>
          <cell r="D2123">
            <v>54</v>
          </cell>
          <cell r="E2123" t="str">
            <v>Figurado</v>
          </cell>
        </row>
        <row r="2124">
          <cell r="A2124">
            <v>1000018065</v>
          </cell>
          <cell r="B2124">
            <v>40585</v>
          </cell>
          <cell r="D2124">
            <v>371.6</v>
          </cell>
          <cell r="E2124" t="str">
            <v>Figurado</v>
          </cell>
        </row>
        <row r="2125">
          <cell r="A2125">
            <v>1000018065</v>
          </cell>
          <cell r="B2125">
            <v>40585</v>
          </cell>
          <cell r="D2125">
            <v>730.8</v>
          </cell>
          <cell r="E2125" t="str">
            <v>Figurado</v>
          </cell>
        </row>
        <row r="2126">
          <cell r="A2126">
            <v>1000018066</v>
          </cell>
          <cell r="B2126">
            <v>40585</v>
          </cell>
          <cell r="D2126">
            <v>174</v>
          </cell>
          <cell r="E2126" t="str">
            <v>Figurado</v>
          </cell>
        </row>
        <row r="2127">
          <cell r="A2127">
            <v>1000018066</v>
          </cell>
          <cell r="B2127">
            <v>40585</v>
          </cell>
          <cell r="D2127">
            <v>353.1</v>
          </cell>
          <cell r="E2127" t="str">
            <v>Figurado</v>
          </cell>
        </row>
        <row r="2128">
          <cell r="A2128">
            <v>1000018067</v>
          </cell>
          <cell r="B2128">
            <v>40585</v>
          </cell>
          <cell r="D2128">
            <v>341.5</v>
          </cell>
          <cell r="E2128" t="str">
            <v>Figurado</v>
          </cell>
        </row>
        <row r="2129">
          <cell r="A2129">
            <v>1000018067</v>
          </cell>
          <cell r="B2129">
            <v>40585</v>
          </cell>
          <cell r="D2129">
            <v>609</v>
          </cell>
          <cell r="E2129" t="str">
            <v>Figurado</v>
          </cell>
        </row>
        <row r="2130">
          <cell r="A2130">
            <v>1000018068</v>
          </cell>
          <cell r="B2130">
            <v>40585</v>
          </cell>
          <cell r="D2130">
            <v>846.7</v>
          </cell>
          <cell r="E2130" t="str">
            <v>Figurado</v>
          </cell>
        </row>
        <row r="2131">
          <cell r="A2131">
            <v>1000018068</v>
          </cell>
          <cell r="B2131">
            <v>40585</v>
          </cell>
          <cell r="D2131">
            <v>751.3</v>
          </cell>
          <cell r="E2131" t="str">
            <v>Figurado</v>
          </cell>
        </row>
        <row r="2132">
          <cell r="A2132">
            <v>1000018069</v>
          </cell>
          <cell r="B2132">
            <v>40585</v>
          </cell>
          <cell r="D2132">
            <v>771.8</v>
          </cell>
          <cell r="E2132" t="str">
            <v>Figurado</v>
          </cell>
        </row>
        <row r="2133">
          <cell r="A2133">
            <v>1000018069</v>
          </cell>
          <cell r="B2133">
            <v>40585</v>
          </cell>
          <cell r="D2133">
            <v>165</v>
          </cell>
          <cell r="E2133" t="str">
            <v>Figurado</v>
          </cell>
        </row>
        <row r="2134">
          <cell r="A2134">
            <v>1000018069</v>
          </cell>
          <cell r="B2134">
            <v>40585</v>
          </cell>
          <cell r="D2134">
            <v>664.6</v>
          </cell>
          <cell r="E2134" t="str">
            <v>Figurado</v>
          </cell>
        </row>
        <row r="2135">
          <cell r="A2135">
            <v>1000018070</v>
          </cell>
          <cell r="B2135">
            <v>40585</v>
          </cell>
          <cell r="D2135">
            <v>620.79999999999995</v>
          </cell>
          <cell r="E2135" t="str">
            <v>Figurado</v>
          </cell>
        </row>
        <row r="2136">
          <cell r="A2136">
            <v>1000018071</v>
          </cell>
          <cell r="B2136">
            <v>40585</v>
          </cell>
          <cell r="D2136">
            <v>501.6</v>
          </cell>
          <cell r="E2136" t="str">
            <v>Figurado</v>
          </cell>
        </row>
        <row r="2137">
          <cell r="A2137">
            <v>1000018071</v>
          </cell>
          <cell r="B2137">
            <v>40585</v>
          </cell>
          <cell r="D2137">
            <v>349.4</v>
          </cell>
          <cell r="E2137" t="str">
            <v>Figurado</v>
          </cell>
        </row>
        <row r="2138">
          <cell r="A2138">
            <v>1000018072</v>
          </cell>
          <cell r="B2138">
            <v>40585</v>
          </cell>
          <cell r="D2138">
            <v>31.3</v>
          </cell>
          <cell r="E2138" t="str">
            <v>Figurado</v>
          </cell>
        </row>
        <row r="2139">
          <cell r="A2139">
            <v>1000018072</v>
          </cell>
          <cell r="B2139">
            <v>40585</v>
          </cell>
          <cell r="D2139">
            <v>273.7</v>
          </cell>
          <cell r="E2139" t="str">
            <v>Figurado</v>
          </cell>
        </row>
        <row r="2140">
          <cell r="A2140">
            <v>1000018072</v>
          </cell>
          <cell r="B2140">
            <v>40585</v>
          </cell>
          <cell r="D2140">
            <v>877.6</v>
          </cell>
          <cell r="E2140" t="str">
            <v>Figurado</v>
          </cell>
        </row>
        <row r="2141">
          <cell r="A2141">
            <v>1000018072</v>
          </cell>
          <cell r="B2141">
            <v>40585</v>
          </cell>
          <cell r="D2141">
            <v>145.6</v>
          </cell>
          <cell r="E2141" t="str">
            <v>Figurado</v>
          </cell>
        </row>
        <row r="2142">
          <cell r="A2142">
            <v>1000018073</v>
          </cell>
          <cell r="B2142">
            <v>40585</v>
          </cell>
          <cell r="D2142">
            <v>231.1</v>
          </cell>
          <cell r="E2142" t="str">
            <v>Figurado</v>
          </cell>
        </row>
        <row r="2143">
          <cell r="A2143">
            <v>1000018074</v>
          </cell>
          <cell r="B2143">
            <v>40585</v>
          </cell>
          <cell r="D2143">
            <v>939.8</v>
          </cell>
          <cell r="E2143" t="str">
            <v>Figurado</v>
          </cell>
        </row>
        <row r="2144">
          <cell r="A2144">
            <v>1000018075</v>
          </cell>
          <cell r="B2144">
            <v>40586</v>
          </cell>
          <cell r="D2144">
            <v>9781.6</v>
          </cell>
          <cell r="E2144" t="str">
            <v>Figurado</v>
          </cell>
        </row>
        <row r="2145">
          <cell r="A2145">
            <v>1000018076</v>
          </cell>
          <cell r="B2145">
            <v>40586</v>
          </cell>
          <cell r="D2145">
            <v>3083</v>
          </cell>
          <cell r="E2145" t="str">
            <v>Figurado</v>
          </cell>
        </row>
        <row r="2146">
          <cell r="A2146">
            <v>1000018076</v>
          </cell>
          <cell r="B2146">
            <v>40586</v>
          </cell>
          <cell r="D2146">
            <v>5517.9</v>
          </cell>
          <cell r="E2146" t="str">
            <v>Figurado</v>
          </cell>
        </row>
        <row r="2147">
          <cell r="A2147">
            <v>1000018077</v>
          </cell>
          <cell r="B2147">
            <v>40586</v>
          </cell>
          <cell r="D2147">
            <v>6646.2</v>
          </cell>
          <cell r="E2147" t="str">
            <v>Figurado</v>
          </cell>
        </row>
        <row r="2148">
          <cell r="A2148">
            <v>1000018077</v>
          </cell>
          <cell r="B2148">
            <v>40586</v>
          </cell>
          <cell r="D2148">
            <v>4402.2</v>
          </cell>
          <cell r="E2148" t="str">
            <v>Figurado</v>
          </cell>
        </row>
        <row r="2149">
          <cell r="A2149">
            <v>1000018077</v>
          </cell>
          <cell r="B2149">
            <v>40586</v>
          </cell>
          <cell r="D2149">
            <v>1172</v>
          </cell>
          <cell r="E2149" t="str">
            <v>Figurado</v>
          </cell>
        </row>
        <row r="2150">
          <cell r="A2150">
            <v>1000018078</v>
          </cell>
          <cell r="B2150">
            <v>40586</v>
          </cell>
          <cell r="D2150">
            <v>10552.8</v>
          </cell>
          <cell r="E2150" t="str">
            <v>Figurado</v>
          </cell>
        </row>
        <row r="2151">
          <cell r="A2151">
            <v>1000018079</v>
          </cell>
          <cell r="B2151">
            <v>40586</v>
          </cell>
          <cell r="D2151">
            <v>4470.2</v>
          </cell>
          <cell r="E2151" t="str">
            <v>Figurado</v>
          </cell>
        </row>
        <row r="2152">
          <cell r="A2152">
            <v>1000018079</v>
          </cell>
          <cell r="B2152">
            <v>40586</v>
          </cell>
          <cell r="D2152">
            <v>7687.7</v>
          </cell>
          <cell r="E2152" t="str">
            <v>Figurado</v>
          </cell>
        </row>
        <row r="2153">
          <cell r="A2153">
            <v>1000018080</v>
          </cell>
          <cell r="B2153">
            <v>40586</v>
          </cell>
          <cell r="D2153">
            <v>16</v>
          </cell>
          <cell r="E2153" t="str">
            <v>Figurado</v>
          </cell>
        </row>
        <row r="2154">
          <cell r="A2154">
            <v>1000018081</v>
          </cell>
          <cell r="B2154">
            <v>40586</v>
          </cell>
          <cell r="D2154">
            <v>248.1</v>
          </cell>
          <cell r="E2154" t="str">
            <v>Figurado</v>
          </cell>
        </row>
        <row r="2155">
          <cell r="A2155">
            <v>1000018081</v>
          </cell>
          <cell r="B2155">
            <v>40586</v>
          </cell>
          <cell r="D2155">
            <v>53.5</v>
          </cell>
          <cell r="E2155" t="str">
            <v>Figurado</v>
          </cell>
        </row>
        <row r="2156">
          <cell r="A2156">
            <v>1000018081</v>
          </cell>
          <cell r="B2156">
            <v>40586</v>
          </cell>
          <cell r="D2156">
            <v>509.7</v>
          </cell>
          <cell r="E2156" t="str">
            <v>Figurado</v>
          </cell>
        </row>
        <row r="2157">
          <cell r="A2157">
            <v>1000018081</v>
          </cell>
          <cell r="B2157">
            <v>40586</v>
          </cell>
          <cell r="D2157">
            <v>197.6</v>
          </cell>
          <cell r="E2157" t="str">
            <v>Figurado</v>
          </cell>
        </row>
        <row r="2158">
          <cell r="A2158">
            <v>1000018081</v>
          </cell>
          <cell r="B2158">
            <v>40586</v>
          </cell>
          <cell r="D2158">
            <v>66.099999999999994</v>
          </cell>
          <cell r="E2158" t="str">
            <v>Figurado</v>
          </cell>
        </row>
        <row r="2159">
          <cell r="A2159">
            <v>1000018082</v>
          </cell>
          <cell r="B2159">
            <v>40586</v>
          </cell>
          <cell r="D2159">
            <v>3000</v>
          </cell>
          <cell r="E2159" t="str">
            <v>Materia Prima</v>
          </cell>
        </row>
        <row r="2160">
          <cell r="A2160">
            <v>1000018093</v>
          </cell>
          <cell r="B2160">
            <v>40588</v>
          </cell>
          <cell r="D2160">
            <v>2869</v>
          </cell>
          <cell r="E2160" t="str">
            <v>Figurado</v>
          </cell>
        </row>
        <row r="2161">
          <cell r="A2161">
            <v>1000018094</v>
          </cell>
          <cell r="B2161">
            <v>40588</v>
          </cell>
          <cell r="D2161">
            <v>24.9</v>
          </cell>
          <cell r="E2161" t="str">
            <v>Figurado</v>
          </cell>
        </row>
        <row r="2162">
          <cell r="A2162">
            <v>1000018096</v>
          </cell>
          <cell r="B2162">
            <v>40588</v>
          </cell>
          <cell r="D2162">
            <v>9079.2000000000007</v>
          </cell>
          <cell r="E2162" t="str">
            <v>Figurado</v>
          </cell>
        </row>
        <row r="2163">
          <cell r="A2163">
            <v>1000018096</v>
          </cell>
          <cell r="B2163">
            <v>40588</v>
          </cell>
          <cell r="D2163">
            <v>37.4</v>
          </cell>
          <cell r="E2163" t="str">
            <v>Figurado</v>
          </cell>
        </row>
        <row r="2164">
          <cell r="A2164">
            <v>1000018100</v>
          </cell>
          <cell r="B2164">
            <v>40588</v>
          </cell>
          <cell r="D2164">
            <v>9273.7000000000007</v>
          </cell>
          <cell r="E2164" t="str">
            <v>Figurado</v>
          </cell>
        </row>
        <row r="2165">
          <cell r="A2165">
            <v>1000018133</v>
          </cell>
          <cell r="B2165">
            <v>40588</v>
          </cell>
          <cell r="D2165">
            <v>4992.3999999999996</v>
          </cell>
          <cell r="E2165" t="str">
            <v>Figurado</v>
          </cell>
        </row>
        <row r="2166">
          <cell r="A2166">
            <v>1000018133</v>
          </cell>
          <cell r="B2166">
            <v>40588</v>
          </cell>
          <cell r="D2166">
            <v>4832.5</v>
          </cell>
          <cell r="E2166" t="str">
            <v>Figurado</v>
          </cell>
        </row>
        <row r="2167">
          <cell r="A2167">
            <v>1000018133</v>
          </cell>
          <cell r="B2167">
            <v>40588</v>
          </cell>
          <cell r="D2167">
            <v>1384.3</v>
          </cell>
          <cell r="E2167" t="str">
            <v>Figurado</v>
          </cell>
        </row>
        <row r="2168">
          <cell r="A2168">
            <v>1000017363</v>
          </cell>
          <cell r="B2168">
            <v>40563</v>
          </cell>
          <cell r="D2168">
            <v>3054.8</v>
          </cell>
          <cell r="E2168" t="str">
            <v>Figurado</v>
          </cell>
        </row>
        <row r="2169">
          <cell r="A2169">
            <v>1000017363</v>
          </cell>
          <cell r="B2169">
            <v>40563</v>
          </cell>
          <cell r="D2169">
            <v>1950.4</v>
          </cell>
          <cell r="E2169" t="str">
            <v>Figurado</v>
          </cell>
        </row>
        <row r="2170">
          <cell r="A2170">
            <v>1000018015</v>
          </cell>
          <cell r="B2170">
            <v>40584</v>
          </cell>
          <cell r="D2170">
            <v>24</v>
          </cell>
          <cell r="E2170" t="str">
            <v>Materia Prima</v>
          </cell>
        </row>
        <row r="2171">
          <cell r="A2171">
            <v>1000018015</v>
          </cell>
          <cell r="B2171">
            <v>40584</v>
          </cell>
          <cell r="D2171">
            <v>18.7</v>
          </cell>
          <cell r="E2171" t="str">
            <v>Materia Prima</v>
          </cell>
        </row>
        <row r="2172">
          <cell r="A2172">
            <v>1000018015</v>
          </cell>
          <cell r="B2172">
            <v>40584</v>
          </cell>
          <cell r="D2172">
            <v>27</v>
          </cell>
          <cell r="E2172" t="str">
            <v>Materia Prima</v>
          </cell>
        </row>
        <row r="2173">
          <cell r="A2173">
            <v>1000018015</v>
          </cell>
          <cell r="B2173">
            <v>40584</v>
          </cell>
          <cell r="D2173">
            <v>6</v>
          </cell>
          <cell r="E2173" t="str">
            <v>Figurado</v>
          </cell>
        </row>
        <row r="2174">
          <cell r="A2174">
            <v>1000018015</v>
          </cell>
          <cell r="B2174">
            <v>40584</v>
          </cell>
          <cell r="D2174">
            <v>688.8</v>
          </cell>
          <cell r="E2174" t="str">
            <v>Figurado</v>
          </cell>
        </row>
        <row r="2175">
          <cell r="A2175">
            <v>1000018015</v>
          </cell>
          <cell r="B2175">
            <v>40584</v>
          </cell>
          <cell r="D2175">
            <v>842.2</v>
          </cell>
          <cell r="E2175" t="str">
            <v>Figurado</v>
          </cell>
        </row>
        <row r="2176">
          <cell r="A2176">
            <v>1000018015</v>
          </cell>
          <cell r="B2176">
            <v>40584</v>
          </cell>
          <cell r="D2176">
            <v>749</v>
          </cell>
          <cell r="E2176" t="str">
            <v>Figurado</v>
          </cell>
        </row>
        <row r="2177">
          <cell r="A2177">
            <v>1000018017</v>
          </cell>
          <cell r="B2177">
            <v>40584</v>
          </cell>
          <cell r="D2177">
            <v>6</v>
          </cell>
          <cell r="E2177" t="str">
            <v>Figurado</v>
          </cell>
        </row>
        <row r="2178">
          <cell r="A2178">
            <v>1000018017</v>
          </cell>
          <cell r="B2178">
            <v>40584</v>
          </cell>
          <cell r="D2178">
            <v>26.9</v>
          </cell>
          <cell r="E2178" t="str">
            <v>Materia Prima</v>
          </cell>
        </row>
        <row r="2179">
          <cell r="A2179">
            <v>1000018017</v>
          </cell>
          <cell r="B2179">
            <v>40584</v>
          </cell>
          <cell r="D2179">
            <v>96</v>
          </cell>
          <cell r="E2179" t="str">
            <v>Materia Prima</v>
          </cell>
        </row>
        <row r="2180">
          <cell r="A2180">
            <v>1000018017</v>
          </cell>
          <cell r="B2180">
            <v>40584</v>
          </cell>
          <cell r="D2180">
            <v>37.4</v>
          </cell>
          <cell r="E2180" t="str">
            <v>Materia Prima</v>
          </cell>
        </row>
        <row r="2181">
          <cell r="A2181">
            <v>1000018017</v>
          </cell>
          <cell r="B2181">
            <v>40584</v>
          </cell>
          <cell r="D2181">
            <v>2929.1</v>
          </cell>
          <cell r="E2181" t="str">
            <v>Figurado</v>
          </cell>
        </row>
        <row r="2182">
          <cell r="A2182">
            <v>1000018017</v>
          </cell>
          <cell r="B2182">
            <v>40584</v>
          </cell>
          <cell r="D2182">
            <v>3361.2</v>
          </cell>
          <cell r="E2182" t="str">
            <v>Figurado</v>
          </cell>
        </row>
        <row r="2183">
          <cell r="A2183">
            <v>1000018018</v>
          </cell>
          <cell r="B2183">
            <v>40584</v>
          </cell>
          <cell r="D2183">
            <v>712.3</v>
          </cell>
          <cell r="E2183" t="str">
            <v>Materia Prima</v>
          </cell>
        </row>
        <row r="2184">
          <cell r="A2184">
            <v>1000018018</v>
          </cell>
          <cell r="B2184">
            <v>40584</v>
          </cell>
          <cell r="D2184">
            <v>187.2</v>
          </cell>
          <cell r="E2184" t="str">
            <v>Materia Prima</v>
          </cell>
        </row>
        <row r="2185">
          <cell r="A2185">
            <v>1000018018</v>
          </cell>
          <cell r="B2185">
            <v>40584</v>
          </cell>
          <cell r="D2185">
            <v>270</v>
          </cell>
          <cell r="E2185" t="str">
            <v>Materia Prima</v>
          </cell>
        </row>
        <row r="2186">
          <cell r="A2186">
            <v>1000018018</v>
          </cell>
          <cell r="B2186">
            <v>40584</v>
          </cell>
          <cell r="D2186">
            <v>73.400000000000006</v>
          </cell>
          <cell r="E2186" t="str">
            <v>Materia Prima</v>
          </cell>
        </row>
        <row r="2187">
          <cell r="A2187">
            <v>1000018018</v>
          </cell>
          <cell r="B2187">
            <v>40584</v>
          </cell>
          <cell r="D2187">
            <v>240</v>
          </cell>
          <cell r="E2187" t="str">
            <v>Materia Prima</v>
          </cell>
        </row>
        <row r="2188">
          <cell r="A2188">
            <v>1000018018</v>
          </cell>
          <cell r="B2188">
            <v>40584</v>
          </cell>
          <cell r="D2188">
            <v>88.7</v>
          </cell>
          <cell r="E2188" t="str">
            <v>Figurado</v>
          </cell>
        </row>
        <row r="2189">
          <cell r="A2189">
            <v>1000018018</v>
          </cell>
          <cell r="B2189">
            <v>40584</v>
          </cell>
          <cell r="D2189">
            <v>1044</v>
          </cell>
          <cell r="E2189" t="str">
            <v>Figurado</v>
          </cell>
        </row>
        <row r="2190">
          <cell r="A2190">
            <v>1000018018</v>
          </cell>
          <cell r="B2190">
            <v>40584</v>
          </cell>
          <cell r="D2190">
            <v>2449.6</v>
          </cell>
          <cell r="E2190" t="str">
            <v>Figurado</v>
          </cell>
        </row>
        <row r="2191">
          <cell r="A2191">
            <v>1000018018</v>
          </cell>
          <cell r="B2191">
            <v>40584</v>
          </cell>
          <cell r="D2191">
            <v>10640.7</v>
          </cell>
          <cell r="E2191" t="str">
            <v>Figurado</v>
          </cell>
        </row>
        <row r="2192">
          <cell r="A2192">
            <v>1000018018</v>
          </cell>
          <cell r="B2192">
            <v>40584</v>
          </cell>
          <cell r="D2192">
            <v>2513.5</v>
          </cell>
          <cell r="E2192" t="str">
            <v>Figurado</v>
          </cell>
        </row>
        <row r="2193">
          <cell r="A2193">
            <v>1000018018</v>
          </cell>
          <cell r="B2193">
            <v>40584</v>
          </cell>
          <cell r="D2193">
            <v>4340.8</v>
          </cell>
          <cell r="E2193" t="str">
            <v>Figurado</v>
          </cell>
        </row>
        <row r="2194">
          <cell r="A2194">
            <v>1000018039</v>
          </cell>
          <cell r="B2194">
            <v>40584</v>
          </cell>
          <cell r="D2194">
            <v>288</v>
          </cell>
          <cell r="E2194" t="str">
            <v>Materia Prima</v>
          </cell>
        </row>
        <row r="2195">
          <cell r="A2195">
            <v>1000018039</v>
          </cell>
          <cell r="B2195">
            <v>40584</v>
          </cell>
          <cell r="D2195">
            <v>3119.3</v>
          </cell>
          <cell r="E2195" t="str">
            <v>Figurado</v>
          </cell>
        </row>
        <row r="2196">
          <cell r="A2196">
            <v>1000018039</v>
          </cell>
          <cell r="B2196">
            <v>40584</v>
          </cell>
          <cell r="D2196">
            <v>2359.9</v>
          </cell>
          <cell r="E2196" t="str">
            <v>Figurado</v>
          </cell>
        </row>
        <row r="2197">
          <cell r="A2197">
            <v>1000018039</v>
          </cell>
          <cell r="B2197">
            <v>40584</v>
          </cell>
          <cell r="D2197">
            <v>1602.7</v>
          </cell>
          <cell r="E2197" t="str">
            <v>Figurado</v>
          </cell>
        </row>
        <row r="2198">
          <cell r="A2198">
            <v>1000018040</v>
          </cell>
          <cell r="B2198">
            <v>40584</v>
          </cell>
          <cell r="D2198">
            <v>5.4</v>
          </cell>
          <cell r="E2198" t="str">
            <v>Figurado</v>
          </cell>
        </row>
        <row r="2199">
          <cell r="A2199">
            <v>1000018040</v>
          </cell>
          <cell r="B2199">
            <v>40584</v>
          </cell>
          <cell r="D2199">
            <v>3262.6</v>
          </cell>
          <cell r="E2199" t="str">
            <v>Figurado</v>
          </cell>
        </row>
        <row r="2200">
          <cell r="A2200">
            <v>1000018054</v>
          </cell>
          <cell r="B2200">
            <v>40585</v>
          </cell>
          <cell r="D2200">
            <v>35004</v>
          </cell>
          <cell r="E2200" t="str">
            <v>Materia Prima</v>
          </cell>
        </row>
        <row r="2201">
          <cell r="A2201">
            <v>1000018058</v>
          </cell>
          <cell r="B2201">
            <v>40585</v>
          </cell>
          <cell r="D2201">
            <v>1222.8</v>
          </cell>
          <cell r="E2201" t="str">
            <v>Mallas</v>
          </cell>
        </row>
        <row r="2202">
          <cell r="A2202">
            <v>1000018059</v>
          </cell>
          <cell r="B2202">
            <v>40585</v>
          </cell>
          <cell r="D2202">
            <v>7992.34</v>
          </cell>
          <cell r="E2202" t="str">
            <v>Mallas</v>
          </cell>
        </row>
        <row r="2203">
          <cell r="A2203">
            <v>1000018060</v>
          </cell>
          <cell r="B2203">
            <v>40585</v>
          </cell>
          <cell r="D2203">
            <v>11660</v>
          </cell>
          <cell r="E2203" t="str">
            <v>Materia Prima</v>
          </cell>
        </row>
        <row r="2204">
          <cell r="A2204">
            <v>1000018061</v>
          </cell>
          <cell r="B2204">
            <v>40585</v>
          </cell>
          <cell r="D2204">
            <v>2582.1</v>
          </cell>
          <cell r="E2204" t="str">
            <v>Mallas</v>
          </cell>
        </row>
        <row r="2205">
          <cell r="A2205">
            <v>1000018062</v>
          </cell>
          <cell r="B2205">
            <v>40585</v>
          </cell>
          <cell r="D2205">
            <v>9467.7000000000007</v>
          </cell>
          <cell r="E2205" t="str">
            <v>Mallas</v>
          </cell>
        </row>
        <row r="2206">
          <cell r="A2206">
            <v>1000018083</v>
          </cell>
          <cell r="B2206">
            <v>40586</v>
          </cell>
          <cell r="D2206">
            <v>2470</v>
          </cell>
          <cell r="E2206" t="str">
            <v>Mallas</v>
          </cell>
        </row>
        <row r="2207">
          <cell r="A2207">
            <v>1000018084</v>
          </cell>
          <cell r="B2207">
            <v>40586</v>
          </cell>
          <cell r="D2207">
            <v>350</v>
          </cell>
          <cell r="E2207" t="str">
            <v>Materia Prima</v>
          </cell>
        </row>
        <row r="2208">
          <cell r="A2208">
            <v>1000018085</v>
          </cell>
          <cell r="B2208">
            <v>40586</v>
          </cell>
          <cell r="D2208">
            <v>100</v>
          </cell>
          <cell r="E2208" t="str">
            <v>Materia Prima</v>
          </cell>
        </row>
        <row r="2209">
          <cell r="A2209">
            <v>1000018086</v>
          </cell>
          <cell r="B2209">
            <v>40586</v>
          </cell>
          <cell r="D2209">
            <v>56</v>
          </cell>
          <cell r="E2209" t="str">
            <v>Materia Prima</v>
          </cell>
        </row>
        <row r="2210">
          <cell r="A2210">
            <v>1000018088</v>
          </cell>
          <cell r="B2210">
            <v>40586</v>
          </cell>
          <cell r="D2210">
            <v>11627</v>
          </cell>
          <cell r="E2210" t="str">
            <v>Materia Prima</v>
          </cell>
        </row>
        <row r="2211">
          <cell r="A2211">
            <v>1000018090</v>
          </cell>
          <cell r="B2211">
            <v>40588</v>
          </cell>
          <cell r="D2211">
            <v>40.299999999999997</v>
          </cell>
          <cell r="E2211" t="str">
            <v>Materia Prima</v>
          </cell>
        </row>
        <row r="2212">
          <cell r="A2212">
            <v>1000018090</v>
          </cell>
          <cell r="B2212">
            <v>40588</v>
          </cell>
          <cell r="D2212">
            <v>28.2</v>
          </cell>
          <cell r="E2212" t="str">
            <v>Figurado</v>
          </cell>
        </row>
        <row r="2213">
          <cell r="A2213">
            <v>1000018090</v>
          </cell>
          <cell r="B2213">
            <v>40588</v>
          </cell>
          <cell r="D2213">
            <v>6133.3</v>
          </cell>
          <cell r="E2213" t="str">
            <v>Figurado</v>
          </cell>
        </row>
        <row r="2214">
          <cell r="A2214">
            <v>1000018090</v>
          </cell>
          <cell r="B2214">
            <v>40588</v>
          </cell>
          <cell r="D2214">
            <v>3654.5</v>
          </cell>
          <cell r="E2214" t="str">
            <v>Figurado</v>
          </cell>
        </row>
        <row r="2215">
          <cell r="A2215">
            <v>1000018090</v>
          </cell>
          <cell r="B2215">
            <v>40588</v>
          </cell>
          <cell r="D2215">
            <v>1706.8</v>
          </cell>
          <cell r="E2215" t="str">
            <v>Figurado</v>
          </cell>
        </row>
        <row r="2216">
          <cell r="A2216">
            <v>1000018090</v>
          </cell>
          <cell r="B2216">
            <v>40588</v>
          </cell>
          <cell r="D2216">
            <v>127.9</v>
          </cell>
          <cell r="E2216" t="str">
            <v>Figurado</v>
          </cell>
        </row>
        <row r="2217">
          <cell r="A2217">
            <v>1000018090</v>
          </cell>
          <cell r="B2217">
            <v>40588</v>
          </cell>
          <cell r="D2217">
            <v>110.4</v>
          </cell>
          <cell r="E2217" t="str">
            <v>Figurado</v>
          </cell>
        </row>
        <row r="2218">
          <cell r="A2218">
            <v>1000018091</v>
          </cell>
          <cell r="B2218">
            <v>40588</v>
          </cell>
          <cell r="D2218">
            <v>328.9</v>
          </cell>
          <cell r="E2218" t="str">
            <v>Figurado</v>
          </cell>
        </row>
        <row r="2219">
          <cell r="A2219">
            <v>1000018092</v>
          </cell>
          <cell r="B2219">
            <v>40588</v>
          </cell>
          <cell r="D2219">
            <v>468</v>
          </cell>
          <cell r="E2219" t="str">
            <v>Materia Prima</v>
          </cell>
        </row>
        <row r="2220">
          <cell r="A2220">
            <v>1000018092</v>
          </cell>
          <cell r="B2220">
            <v>40588</v>
          </cell>
          <cell r="D2220">
            <v>15.6</v>
          </cell>
          <cell r="E2220" t="str">
            <v>Figurado</v>
          </cell>
        </row>
        <row r="2221">
          <cell r="A2221">
            <v>1000018092</v>
          </cell>
          <cell r="B2221">
            <v>40588</v>
          </cell>
          <cell r="D2221">
            <v>620.4</v>
          </cell>
          <cell r="E2221" t="str">
            <v>Figurado</v>
          </cell>
        </row>
        <row r="2222">
          <cell r="A2222">
            <v>1000018092</v>
          </cell>
          <cell r="B2222">
            <v>40588</v>
          </cell>
          <cell r="D2222">
            <v>474.9</v>
          </cell>
          <cell r="E2222" t="str">
            <v>Figurado</v>
          </cell>
        </row>
        <row r="2223">
          <cell r="A2223">
            <v>1000018095</v>
          </cell>
          <cell r="B2223">
            <v>40588</v>
          </cell>
          <cell r="D2223">
            <v>10637.5</v>
          </cell>
          <cell r="E2223" t="str">
            <v>Figurado</v>
          </cell>
        </row>
        <row r="2224">
          <cell r="A2224">
            <v>1000018097</v>
          </cell>
          <cell r="B2224">
            <v>40588</v>
          </cell>
          <cell r="D2224">
            <v>1368</v>
          </cell>
          <cell r="E2224" t="str">
            <v>Figurado</v>
          </cell>
        </row>
        <row r="2225">
          <cell r="A2225">
            <v>1000018098</v>
          </cell>
          <cell r="B2225">
            <v>40588</v>
          </cell>
          <cell r="D2225">
            <v>415.8</v>
          </cell>
          <cell r="E2225" t="str">
            <v>Figurado</v>
          </cell>
        </row>
        <row r="2226">
          <cell r="A2226">
            <v>1000018098</v>
          </cell>
          <cell r="B2226">
            <v>40588</v>
          </cell>
          <cell r="D2226">
            <v>10703.2</v>
          </cell>
          <cell r="E2226" t="str">
            <v>Figurado</v>
          </cell>
        </row>
        <row r="2227">
          <cell r="A2227">
            <v>1000018099</v>
          </cell>
          <cell r="B2227">
            <v>40588</v>
          </cell>
          <cell r="D2227">
            <v>7620</v>
          </cell>
          <cell r="E2227" t="str">
            <v>Figurado</v>
          </cell>
        </row>
        <row r="2228">
          <cell r="A2228">
            <v>1000018099</v>
          </cell>
          <cell r="B2228">
            <v>40588</v>
          </cell>
          <cell r="D2228">
            <v>1649.6</v>
          </cell>
          <cell r="E2228" t="str">
            <v>Figurado</v>
          </cell>
        </row>
        <row r="2229">
          <cell r="A2229">
            <v>1000018101</v>
          </cell>
          <cell r="B2229">
            <v>40588</v>
          </cell>
          <cell r="D2229">
            <v>421.2</v>
          </cell>
          <cell r="E2229" t="str">
            <v>Figurado</v>
          </cell>
        </row>
        <row r="2230">
          <cell r="A2230">
            <v>1000018101</v>
          </cell>
          <cell r="B2230">
            <v>40588</v>
          </cell>
          <cell r="D2230">
            <v>2027.5</v>
          </cell>
          <cell r="E2230" t="str">
            <v>Figurado</v>
          </cell>
        </row>
        <row r="2231">
          <cell r="A2231">
            <v>1000018102</v>
          </cell>
          <cell r="B2231">
            <v>40588</v>
          </cell>
          <cell r="D2231">
            <v>539.20000000000005</v>
          </cell>
          <cell r="E2231" t="str">
            <v>Figurado</v>
          </cell>
        </row>
        <row r="2232">
          <cell r="A2232">
            <v>1000018102</v>
          </cell>
          <cell r="B2232">
            <v>40588</v>
          </cell>
          <cell r="D2232">
            <v>550.1</v>
          </cell>
          <cell r="E2232" t="str">
            <v>Figurado</v>
          </cell>
        </row>
        <row r="2233">
          <cell r="A2233">
            <v>1000018103</v>
          </cell>
          <cell r="B2233">
            <v>40588</v>
          </cell>
          <cell r="D2233">
            <v>5914.2</v>
          </cell>
          <cell r="E2233" t="str">
            <v>Figurado</v>
          </cell>
        </row>
        <row r="2234">
          <cell r="A2234">
            <v>1000018103</v>
          </cell>
          <cell r="B2234">
            <v>40588</v>
          </cell>
          <cell r="D2234">
            <v>609.29999999999995</v>
          </cell>
          <cell r="E2234" t="str">
            <v>Figurado</v>
          </cell>
        </row>
        <row r="2235">
          <cell r="A2235">
            <v>1000018103</v>
          </cell>
          <cell r="B2235">
            <v>40588</v>
          </cell>
          <cell r="D2235">
            <v>477.4</v>
          </cell>
          <cell r="E2235" t="str">
            <v>Figurado</v>
          </cell>
        </row>
        <row r="2236">
          <cell r="A2236">
            <v>1000018104</v>
          </cell>
          <cell r="B2236">
            <v>40588</v>
          </cell>
          <cell r="D2236">
            <v>1000</v>
          </cell>
          <cell r="E2236" t="str">
            <v>Materia Prima</v>
          </cell>
        </row>
        <row r="2237">
          <cell r="A2237">
            <v>1000018105</v>
          </cell>
          <cell r="B2237">
            <v>40588</v>
          </cell>
          <cell r="D2237">
            <v>8211.2199999999993</v>
          </cell>
          <cell r="E2237" t="str">
            <v>Mallas</v>
          </cell>
        </row>
        <row r="2238">
          <cell r="A2238">
            <v>1000018106</v>
          </cell>
          <cell r="B2238">
            <v>40588</v>
          </cell>
          <cell r="D2238">
            <v>1013</v>
          </cell>
          <cell r="E2238" t="str">
            <v>Materia Prima</v>
          </cell>
        </row>
        <row r="2239">
          <cell r="A2239">
            <v>1000018114</v>
          </cell>
          <cell r="B2239">
            <v>40588</v>
          </cell>
          <cell r="D2239">
            <v>5289.8</v>
          </cell>
          <cell r="E2239" t="str">
            <v>Figurado</v>
          </cell>
        </row>
        <row r="2240">
          <cell r="A2240">
            <v>1000018115</v>
          </cell>
          <cell r="B2240">
            <v>40588</v>
          </cell>
          <cell r="D2240">
            <v>70.5</v>
          </cell>
          <cell r="E2240" t="str">
            <v>Figurado</v>
          </cell>
        </row>
        <row r="2241">
          <cell r="A2241">
            <v>1000018116</v>
          </cell>
          <cell r="B2241">
            <v>40589</v>
          </cell>
          <cell r="D2241">
            <v>2160</v>
          </cell>
          <cell r="E2241" t="str">
            <v>Materia Prima</v>
          </cell>
        </row>
        <row r="2242">
          <cell r="A2242">
            <v>1000018116</v>
          </cell>
          <cell r="B2242">
            <v>40589</v>
          </cell>
          <cell r="D2242">
            <v>2206.1999999999998</v>
          </cell>
          <cell r="E2242" t="str">
            <v>Figurado</v>
          </cell>
        </row>
        <row r="2243">
          <cell r="A2243">
            <v>1000018116</v>
          </cell>
          <cell r="B2243">
            <v>40589</v>
          </cell>
          <cell r="D2243">
            <v>156.69999999999999</v>
          </cell>
          <cell r="E2243" t="str">
            <v>Figurado</v>
          </cell>
        </row>
        <row r="2244">
          <cell r="A2244">
            <v>1000018117</v>
          </cell>
          <cell r="B2244">
            <v>40589</v>
          </cell>
          <cell r="D2244">
            <v>10705.8</v>
          </cell>
          <cell r="E2244" t="str">
            <v>Figurado</v>
          </cell>
        </row>
        <row r="2245">
          <cell r="A2245">
            <v>1000018118</v>
          </cell>
          <cell r="B2245">
            <v>40589</v>
          </cell>
          <cell r="D2245">
            <v>471.6</v>
          </cell>
          <cell r="E2245" t="str">
            <v>Figurado</v>
          </cell>
        </row>
        <row r="2246">
          <cell r="A2246">
            <v>1000018119</v>
          </cell>
          <cell r="B2246">
            <v>40589</v>
          </cell>
          <cell r="D2246">
            <v>24</v>
          </cell>
          <cell r="E2246" t="str">
            <v>Materia Prima</v>
          </cell>
        </row>
        <row r="2247">
          <cell r="A2247">
            <v>1000018119</v>
          </cell>
          <cell r="B2247">
            <v>40589</v>
          </cell>
          <cell r="D2247">
            <v>263.10000000000002</v>
          </cell>
          <cell r="E2247" t="str">
            <v>Figurado</v>
          </cell>
        </row>
        <row r="2248">
          <cell r="A2248">
            <v>1000018119</v>
          </cell>
          <cell r="B2248">
            <v>40589</v>
          </cell>
          <cell r="D2248">
            <v>1773.9</v>
          </cell>
          <cell r="E2248" t="str">
            <v>Figurado</v>
          </cell>
        </row>
        <row r="2249">
          <cell r="A2249">
            <v>1000018120</v>
          </cell>
          <cell r="B2249">
            <v>40589</v>
          </cell>
          <cell r="D2249">
            <v>24</v>
          </cell>
          <cell r="E2249" t="str">
            <v>Materia Prima</v>
          </cell>
        </row>
        <row r="2250">
          <cell r="A2250">
            <v>1000018120</v>
          </cell>
          <cell r="B2250">
            <v>40589</v>
          </cell>
          <cell r="D2250">
            <v>27</v>
          </cell>
          <cell r="E2250" t="str">
            <v>Materia Prima</v>
          </cell>
        </row>
        <row r="2251">
          <cell r="A2251">
            <v>1000018120</v>
          </cell>
          <cell r="B2251">
            <v>40589</v>
          </cell>
          <cell r="D2251">
            <v>9</v>
          </cell>
          <cell r="E2251" t="str">
            <v>Figurado</v>
          </cell>
        </row>
        <row r="2252">
          <cell r="A2252">
            <v>1000018120</v>
          </cell>
          <cell r="B2252">
            <v>40589</v>
          </cell>
          <cell r="D2252">
            <v>347.1</v>
          </cell>
          <cell r="E2252" t="str">
            <v>Figurado</v>
          </cell>
        </row>
        <row r="2253">
          <cell r="A2253">
            <v>1000018120</v>
          </cell>
          <cell r="B2253">
            <v>40589</v>
          </cell>
          <cell r="D2253">
            <v>2319.9</v>
          </cell>
          <cell r="E2253" t="str">
            <v>Figurado</v>
          </cell>
        </row>
        <row r="2254">
          <cell r="A2254">
            <v>1000018120</v>
          </cell>
          <cell r="B2254">
            <v>40589</v>
          </cell>
          <cell r="D2254">
            <v>27.8</v>
          </cell>
          <cell r="E2254" t="str">
            <v>Figurado</v>
          </cell>
        </row>
        <row r="2255">
          <cell r="A2255">
            <v>1000018120</v>
          </cell>
          <cell r="B2255">
            <v>40589</v>
          </cell>
          <cell r="D2255">
            <v>678.6</v>
          </cell>
          <cell r="E2255" t="str">
            <v>Figurado</v>
          </cell>
        </row>
        <row r="2256">
          <cell r="A2256">
            <v>1000018121</v>
          </cell>
          <cell r="B2256">
            <v>40589</v>
          </cell>
          <cell r="D2256">
            <v>1118</v>
          </cell>
          <cell r="E2256" t="str">
            <v>Figurado</v>
          </cell>
        </row>
        <row r="2257">
          <cell r="A2257">
            <v>1000018121</v>
          </cell>
          <cell r="B2257">
            <v>40589</v>
          </cell>
          <cell r="D2257">
            <v>424.8</v>
          </cell>
          <cell r="E2257" t="str">
            <v>Figurado</v>
          </cell>
        </row>
        <row r="2258">
          <cell r="A2258">
            <v>1000018121</v>
          </cell>
          <cell r="B2258">
            <v>40589</v>
          </cell>
          <cell r="D2258">
            <v>261.5</v>
          </cell>
          <cell r="E2258" t="str">
            <v>Figurado</v>
          </cell>
        </row>
        <row r="2259">
          <cell r="A2259">
            <v>1000018122</v>
          </cell>
          <cell r="B2259">
            <v>40589</v>
          </cell>
          <cell r="D2259">
            <v>5.5</v>
          </cell>
          <cell r="E2259" t="str">
            <v>Figurado</v>
          </cell>
        </row>
        <row r="2260">
          <cell r="A2260">
            <v>1000018122</v>
          </cell>
          <cell r="B2260">
            <v>40589</v>
          </cell>
          <cell r="D2260">
            <v>5514.1</v>
          </cell>
          <cell r="E2260" t="str">
            <v>Figurado</v>
          </cell>
        </row>
        <row r="2261">
          <cell r="A2261">
            <v>1000018122</v>
          </cell>
          <cell r="B2261">
            <v>40589</v>
          </cell>
          <cell r="D2261">
            <v>714.1</v>
          </cell>
          <cell r="E2261" t="str">
            <v>Figurado</v>
          </cell>
        </row>
        <row r="2262">
          <cell r="A2262">
            <v>1000018122</v>
          </cell>
          <cell r="B2262">
            <v>40589</v>
          </cell>
          <cell r="D2262">
            <v>301.7</v>
          </cell>
          <cell r="E2262" t="str">
            <v>Figurado</v>
          </cell>
        </row>
        <row r="2263">
          <cell r="A2263">
            <v>1000018122</v>
          </cell>
          <cell r="B2263">
            <v>40589</v>
          </cell>
          <cell r="D2263">
            <v>1007.6</v>
          </cell>
          <cell r="E2263" t="str">
            <v>Figurado</v>
          </cell>
        </row>
        <row r="2264">
          <cell r="A2264">
            <v>1000018123</v>
          </cell>
          <cell r="B2264">
            <v>40589</v>
          </cell>
          <cell r="D2264">
            <v>190.5</v>
          </cell>
          <cell r="E2264" t="str">
            <v>Figurado</v>
          </cell>
        </row>
        <row r="2265">
          <cell r="A2265">
            <v>1000018124</v>
          </cell>
          <cell r="B2265">
            <v>40589</v>
          </cell>
          <cell r="D2265">
            <v>134.4</v>
          </cell>
          <cell r="E2265" t="str">
            <v>Materia Prima</v>
          </cell>
        </row>
        <row r="2266">
          <cell r="A2266">
            <v>1000018124</v>
          </cell>
          <cell r="B2266">
            <v>40589</v>
          </cell>
          <cell r="D2266">
            <v>97.3</v>
          </cell>
          <cell r="E2266" t="str">
            <v>Figurado</v>
          </cell>
        </row>
        <row r="2267">
          <cell r="A2267">
            <v>1000018124</v>
          </cell>
          <cell r="B2267">
            <v>40589</v>
          </cell>
          <cell r="D2267">
            <v>1320.9</v>
          </cell>
          <cell r="E2267" t="str">
            <v>Figurado</v>
          </cell>
        </row>
        <row r="2268">
          <cell r="A2268">
            <v>1000018124</v>
          </cell>
          <cell r="B2268">
            <v>40589</v>
          </cell>
          <cell r="D2268">
            <v>48</v>
          </cell>
          <cell r="E2268" t="str">
            <v>Figurado</v>
          </cell>
        </row>
        <row r="2269">
          <cell r="A2269">
            <v>1000018124</v>
          </cell>
          <cell r="B2269">
            <v>40589</v>
          </cell>
          <cell r="D2269">
            <v>110.4</v>
          </cell>
          <cell r="E2269" t="str">
            <v>Figurado</v>
          </cell>
        </row>
        <row r="2270">
          <cell r="A2270">
            <v>1000018125</v>
          </cell>
          <cell r="B2270">
            <v>40589</v>
          </cell>
          <cell r="D2270">
            <v>651.79999999999995</v>
          </cell>
          <cell r="E2270" t="str">
            <v>Figurado</v>
          </cell>
        </row>
        <row r="2271">
          <cell r="A2271">
            <v>1000018125</v>
          </cell>
          <cell r="B2271">
            <v>40589</v>
          </cell>
          <cell r="D2271">
            <v>1536</v>
          </cell>
          <cell r="E2271" t="str">
            <v>Figurado</v>
          </cell>
        </row>
        <row r="2272">
          <cell r="A2272">
            <v>1000018125</v>
          </cell>
          <cell r="B2272">
            <v>40589</v>
          </cell>
          <cell r="D2272">
            <v>153.9</v>
          </cell>
          <cell r="E2272" t="str">
            <v>Figurado</v>
          </cell>
        </row>
        <row r="2273">
          <cell r="A2273">
            <v>1000018126</v>
          </cell>
          <cell r="B2273">
            <v>40589</v>
          </cell>
          <cell r="D2273">
            <v>81.400000000000006</v>
          </cell>
          <cell r="E2273" t="str">
            <v>Figurado</v>
          </cell>
        </row>
        <row r="2274">
          <cell r="A2274">
            <v>1000018126</v>
          </cell>
          <cell r="B2274">
            <v>40589</v>
          </cell>
          <cell r="D2274">
            <v>1102.2</v>
          </cell>
          <cell r="E2274" t="str">
            <v>Figurado</v>
          </cell>
        </row>
        <row r="2275">
          <cell r="A2275">
            <v>1000018126</v>
          </cell>
          <cell r="B2275">
            <v>40589</v>
          </cell>
          <cell r="D2275">
            <v>16</v>
          </cell>
          <cell r="E2275" t="str">
            <v>Figurado</v>
          </cell>
        </row>
        <row r="2276">
          <cell r="A2276">
            <v>1000018126</v>
          </cell>
          <cell r="B2276">
            <v>40589</v>
          </cell>
          <cell r="D2276">
            <v>62.4</v>
          </cell>
          <cell r="E2276" t="str">
            <v>Figurado</v>
          </cell>
        </row>
        <row r="2277">
          <cell r="A2277">
            <v>1000018127</v>
          </cell>
          <cell r="B2277">
            <v>40589</v>
          </cell>
          <cell r="D2277">
            <v>237.7</v>
          </cell>
          <cell r="E2277" t="str">
            <v>Figurado</v>
          </cell>
        </row>
        <row r="2278">
          <cell r="A2278">
            <v>1000018127</v>
          </cell>
          <cell r="B2278">
            <v>40589</v>
          </cell>
          <cell r="D2278">
            <v>656.7</v>
          </cell>
          <cell r="E2278" t="str">
            <v>Figurado</v>
          </cell>
        </row>
        <row r="2279">
          <cell r="A2279">
            <v>1000018127</v>
          </cell>
          <cell r="B2279">
            <v>40589</v>
          </cell>
          <cell r="D2279">
            <v>210.4</v>
          </cell>
          <cell r="E2279" t="str">
            <v>Figurado</v>
          </cell>
        </row>
        <row r="2280">
          <cell r="A2280">
            <v>1000018127</v>
          </cell>
          <cell r="B2280">
            <v>40589</v>
          </cell>
          <cell r="D2280">
            <v>445.1</v>
          </cell>
          <cell r="E2280" t="str">
            <v>Figurado</v>
          </cell>
        </row>
        <row r="2281">
          <cell r="A2281">
            <v>1000018128</v>
          </cell>
          <cell r="B2281">
            <v>40589</v>
          </cell>
          <cell r="D2281">
            <v>10.5</v>
          </cell>
          <cell r="E2281" t="str">
            <v>Figurado</v>
          </cell>
        </row>
        <row r="2282">
          <cell r="A2282">
            <v>1000018128</v>
          </cell>
          <cell r="B2282">
            <v>40589</v>
          </cell>
          <cell r="D2282">
            <v>383.3</v>
          </cell>
          <cell r="E2282" t="str">
            <v>Figurado</v>
          </cell>
        </row>
        <row r="2283">
          <cell r="A2283">
            <v>1000018128</v>
          </cell>
          <cell r="B2283">
            <v>40589</v>
          </cell>
          <cell r="D2283">
            <v>1388.5</v>
          </cell>
          <cell r="E2283" t="str">
            <v>Figurado</v>
          </cell>
        </row>
        <row r="2284">
          <cell r="A2284">
            <v>1000018134</v>
          </cell>
          <cell r="B2284">
            <v>40589</v>
          </cell>
          <cell r="D2284">
            <v>144</v>
          </cell>
          <cell r="E2284" t="str">
            <v>Materia Prima</v>
          </cell>
        </row>
        <row r="2285">
          <cell r="A2285">
            <v>1000018134</v>
          </cell>
          <cell r="B2285">
            <v>40589</v>
          </cell>
          <cell r="D2285">
            <v>81.099999999999994</v>
          </cell>
          <cell r="E2285" t="str">
            <v>Figurado</v>
          </cell>
        </row>
        <row r="2286">
          <cell r="A2286">
            <v>1000018134</v>
          </cell>
          <cell r="B2286">
            <v>40589</v>
          </cell>
          <cell r="D2286">
            <v>10855.6</v>
          </cell>
          <cell r="E2286" t="str">
            <v>Figurado</v>
          </cell>
        </row>
        <row r="2287">
          <cell r="A2287">
            <v>1000018137</v>
          </cell>
          <cell r="B2287">
            <v>40589</v>
          </cell>
          <cell r="D2287">
            <v>389</v>
          </cell>
          <cell r="E2287" t="str">
            <v>Figurado</v>
          </cell>
        </row>
        <row r="2288">
          <cell r="A2288">
            <v>1000018143</v>
          </cell>
          <cell r="B2288">
            <v>40589</v>
          </cell>
          <cell r="D2288">
            <v>10464</v>
          </cell>
          <cell r="E2288" t="str">
            <v>Figurado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E00A-E419-4E98-B622-E8AC826599A0}">
  <dimension ref="A1:J1113"/>
  <sheetViews>
    <sheetView tabSelected="1" workbookViewId="0">
      <selection activeCell="I2" sqref="I2"/>
    </sheetView>
  </sheetViews>
  <sheetFormatPr baseColWidth="10" defaultRowHeight="14.4" x14ac:dyDescent="0.3"/>
  <sheetData>
    <row r="1" spans="1:10" x14ac:dyDescent="0.3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1000016974</v>
      </c>
      <c r="B2" s="1">
        <f>VLOOKUP(A2,[1]Sheet1!A:B,2,FALSE)</f>
        <v>40546</v>
      </c>
      <c r="C2" s="2">
        <v>0</v>
      </c>
      <c r="D2" s="2">
        <f>SUMIFS([1]Sheet1!D:D,[1]Sheet1!A:A,A2,[1]Sheet1!E:E,"Figurado")</f>
        <v>9045.9</v>
      </c>
      <c r="E2" s="2">
        <f>SUMIFS([1]Sheet1!D:D,[1]Sheet1!A:A,A2,[1]Sheet1!E:E,"Mallas")</f>
        <v>0</v>
      </c>
      <c r="F2" s="2">
        <f>SUMIFS([1]Sheet1!D:D,[1]Sheet1!A:A,A2,[1]Sheet1!E:E,"Materia Prima")</f>
        <v>0</v>
      </c>
      <c r="G2" s="2">
        <f>(D2/2600)+(E2/800)</f>
        <v>3.4791923076923075</v>
      </c>
      <c r="H2">
        <f>(IF(D2&gt;0,1,0) + IF(E2&gt;0,1,0) + IF(F2&gt;0,1,0))</f>
        <v>1</v>
      </c>
      <c r="I2" s="2">
        <f>D2/2600</f>
        <v>3.4791923076923075</v>
      </c>
      <c r="J2" s="2">
        <f>E2/800</f>
        <v>0</v>
      </c>
    </row>
    <row r="3" spans="1:10" x14ac:dyDescent="0.3">
      <c r="A3">
        <v>1000016975</v>
      </c>
      <c r="B3" s="1">
        <f>VLOOKUP(A3,[1]Sheet1!A:B,2,FALSE)</f>
        <v>40546</v>
      </c>
      <c r="C3" s="2">
        <v>0</v>
      </c>
      <c r="D3" s="2">
        <f>SUMIFS([1]Sheet1!D:D,[1]Sheet1!A:A,A3,[1]Sheet1!E:E,"Figurado")</f>
        <v>0</v>
      </c>
      <c r="E3" s="2">
        <f>SUMIFS([1]Sheet1!D:D,[1]Sheet1!A:A,A3,[1]Sheet1!E:E,"Mallas")</f>
        <v>0</v>
      </c>
      <c r="F3" s="2">
        <f>SUMIFS([1]Sheet1!D:D,[1]Sheet1!A:A,A3,[1]Sheet1!E:E,"Materia Prima")</f>
        <v>1823</v>
      </c>
      <c r="G3" s="2">
        <f t="shared" ref="G3:G66" si="0">(D3/2600)+(E3/800)</f>
        <v>0</v>
      </c>
      <c r="H3">
        <f t="shared" ref="H3:H66" si="1">(IF(D3&gt;0,1,0) + IF(E3&gt;0,1,0) + IF(F3&gt;0,1,0))</f>
        <v>1</v>
      </c>
      <c r="I3" s="2">
        <f t="shared" ref="I3:I66" si="2">D3/2600</f>
        <v>0</v>
      </c>
      <c r="J3" s="2">
        <f t="shared" ref="J3:J66" si="3">E3/800</f>
        <v>0</v>
      </c>
    </row>
    <row r="4" spans="1:10" x14ac:dyDescent="0.3">
      <c r="A4">
        <v>1000016978</v>
      </c>
      <c r="B4" s="1">
        <f>VLOOKUP(A4,[1]Sheet1!A:B,2,FALSE)</f>
        <v>40546</v>
      </c>
      <c r="C4" s="2">
        <v>0</v>
      </c>
      <c r="D4" s="2">
        <f>SUMIFS([1]Sheet1!D:D,[1]Sheet1!A:A,A4,[1]Sheet1!E:E,"Figurado")</f>
        <v>3291.6000000000004</v>
      </c>
      <c r="E4" s="2">
        <f>SUMIFS([1]Sheet1!D:D,[1]Sheet1!A:A,A4,[1]Sheet1!E:E,"Mallas")</f>
        <v>0</v>
      </c>
      <c r="F4" s="2">
        <f>SUMIFS([1]Sheet1!D:D,[1]Sheet1!A:A,A4,[1]Sheet1!E:E,"Materia Prima")</f>
        <v>0</v>
      </c>
      <c r="G4" s="2">
        <f t="shared" si="0"/>
        <v>1.2660000000000002</v>
      </c>
      <c r="H4">
        <f t="shared" si="1"/>
        <v>1</v>
      </c>
      <c r="I4" s="2">
        <f t="shared" si="2"/>
        <v>1.2660000000000002</v>
      </c>
      <c r="J4" s="2">
        <f t="shared" si="3"/>
        <v>0</v>
      </c>
    </row>
    <row r="5" spans="1:10" x14ac:dyDescent="0.3">
      <c r="A5">
        <v>1000016979</v>
      </c>
      <c r="B5" s="1">
        <f>VLOOKUP(A5,[1]Sheet1!A:B,2,FALSE)</f>
        <v>40546</v>
      </c>
      <c r="C5" s="2">
        <v>0</v>
      </c>
      <c r="D5" s="2">
        <f>SUMIFS([1]Sheet1!D:D,[1]Sheet1!A:A,A5,[1]Sheet1!E:E,"Figurado")</f>
        <v>6410.6</v>
      </c>
      <c r="E5" s="2">
        <f>SUMIFS([1]Sheet1!D:D,[1]Sheet1!A:A,A5,[1]Sheet1!E:E,"Mallas")</f>
        <v>0</v>
      </c>
      <c r="F5" s="2">
        <f>SUMIFS([1]Sheet1!D:D,[1]Sheet1!A:A,A5,[1]Sheet1!E:E,"Materia Prima")</f>
        <v>0</v>
      </c>
      <c r="G5" s="2">
        <f t="shared" si="0"/>
        <v>2.4656153846153845</v>
      </c>
      <c r="H5">
        <f t="shared" si="1"/>
        <v>1</v>
      </c>
      <c r="I5" s="2">
        <f t="shared" si="2"/>
        <v>2.4656153846153845</v>
      </c>
      <c r="J5" s="2">
        <f t="shared" si="3"/>
        <v>0</v>
      </c>
    </row>
    <row r="6" spans="1:10" x14ac:dyDescent="0.3">
      <c r="A6">
        <v>1000016981</v>
      </c>
      <c r="B6" s="1">
        <f>VLOOKUP(A6,[1]Sheet1!A:B,2,FALSE)</f>
        <v>40546</v>
      </c>
      <c r="C6" s="2">
        <v>0</v>
      </c>
      <c r="D6" s="2">
        <f>SUMIFS([1]Sheet1!D:D,[1]Sheet1!A:A,A6,[1]Sheet1!E:E,"Figurado")</f>
        <v>2255.5</v>
      </c>
      <c r="E6" s="2">
        <f>SUMIFS([1]Sheet1!D:D,[1]Sheet1!A:A,A6,[1]Sheet1!E:E,"Mallas")</f>
        <v>0</v>
      </c>
      <c r="F6" s="2">
        <f>SUMIFS([1]Sheet1!D:D,[1]Sheet1!A:A,A6,[1]Sheet1!E:E,"Materia Prima")</f>
        <v>0</v>
      </c>
      <c r="G6" s="2">
        <f t="shared" si="0"/>
        <v>0.86750000000000005</v>
      </c>
      <c r="H6">
        <f t="shared" si="1"/>
        <v>1</v>
      </c>
      <c r="I6" s="2">
        <f t="shared" si="2"/>
        <v>0.86750000000000005</v>
      </c>
      <c r="J6" s="2">
        <f t="shared" si="3"/>
        <v>0</v>
      </c>
    </row>
    <row r="7" spans="1:10" x14ac:dyDescent="0.3">
      <c r="A7">
        <v>1000016982</v>
      </c>
      <c r="B7" s="1">
        <f>VLOOKUP(A7,[1]Sheet1!A:B,2,FALSE)</f>
        <v>40546</v>
      </c>
      <c r="C7" s="2">
        <v>0</v>
      </c>
      <c r="D7" s="2">
        <f>SUMIFS([1]Sheet1!D:D,[1]Sheet1!A:A,A7,[1]Sheet1!E:E,"Figurado")</f>
        <v>394</v>
      </c>
      <c r="E7" s="2">
        <f>SUMIFS([1]Sheet1!D:D,[1]Sheet1!A:A,A7,[1]Sheet1!E:E,"Mallas")</f>
        <v>0</v>
      </c>
      <c r="F7" s="2">
        <f>SUMIFS([1]Sheet1!D:D,[1]Sheet1!A:A,A7,[1]Sheet1!E:E,"Materia Prima")</f>
        <v>108</v>
      </c>
      <c r="G7" s="2">
        <f t="shared" si="0"/>
        <v>0.15153846153846154</v>
      </c>
      <c r="H7">
        <f t="shared" si="1"/>
        <v>2</v>
      </c>
      <c r="I7" s="2">
        <f t="shared" si="2"/>
        <v>0.15153846153846154</v>
      </c>
      <c r="J7" s="2">
        <f t="shared" si="3"/>
        <v>0</v>
      </c>
    </row>
    <row r="8" spans="1:10" x14ac:dyDescent="0.3">
      <c r="A8">
        <v>1000016983</v>
      </c>
      <c r="B8" s="1">
        <f>VLOOKUP(A8,[1]Sheet1!A:B,2,FALSE)</f>
        <v>40546</v>
      </c>
      <c r="C8" s="2">
        <v>0</v>
      </c>
      <c r="D8" s="2">
        <f>SUMIFS([1]Sheet1!D:D,[1]Sheet1!A:A,A8,[1]Sheet1!E:E,"Figurado")</f>
        <v>0</v>
      </c>
      <c r="E8" s="2">
        <f>SUMIFS([1]Sheet1!D:D,[1]Sheet1!A:A,A8,[1]Sheet1!E:E,"Mallas")</f>
        <v>690</v>
      </c>
      <c r="F8" s="2">
        <f>SUMIFS([1]Sheet1!D:D,[1]Sheet1!A:A,A8,[1]Sheet1!E:E,"Materia Prima")</f>
        <v>0</v>
      </c>
      <c r="G8" s="2">
        <f t="shared" si="0"/>
        <v>0.86250000000000004</v>
      </c>
      <c r="H8">
        <f t="shared" si="1"/>
        <v>1</v>
      </c>
      <c r="I8" s="2">
        <f t="shared" si="2"/>
        <v>0</v>
      </c>
      <c r="J8" s="2">
        <f t="shared" si="3"/>
        <v>0.86250000000000004</v>
      </c>
    </row>
    <row r="9" spans="1:10" x14ac:dyDescent="0.3">
      <c r="A9">
        <v>1000016984</v>
      </c>
      <c r="B9" s="1">
        <f>VLOOKUP(A9,[1]Sheet1!A:B,2,FALSE)</f>
        <v>40546</v>
      </c>
      <c r="C9" s="2">
        <v>0</v>
      </c>
      <c r="D9" s="2">
        <f>SUMIFS([1]Sheet1!D:D,[1]Sheet1!A:A,A9,[1]Sheet1!E:E,"Figurado")</f>
        <v>0</v>
      </c>
      <c r="E9" s="2">
        <f>SUMIFS([1]Sheet1!D:D,[1]Sheet1!A:A,A9,[1]Sheet1!E:E,"Mallas")</f>
        <v>690</v>
      </c>
      <c r="F9" s="2">
        <f>SUMIFS([1]Sheet1!D:D,[1]Sheet1!A:A,A9,[1]Sheet1!E:E,"Materia Prima")</f>
        <v>0</v>
      </c>
      <c r="G9" s="2">
        <f t="shared" si="0"/>
        <v>0.86250000000000004</v>
      </c>
      <c r="H9">
        <f t="shared" si="1"/>
        <v>1</v>
      </c>
      <c r="I9" s="2">
        <f t="shared" si="2"/>
        <v>0</v>
      </c>
      <c r="J9" s="2">
        <f t="shared" si="3"/>
        <v>0.86250000000000004</v>
      </c>
    </row>
    <row r="10" spans="1:10" x14ac:dyDescent="0.3">
      <c r="A10">
        <v>1000016985</v>
      </c>
      <c r="B10" s="1">
        <f>VLOOKUP(A10,[1]Sheet1!A:B,2,FALSE)</f>
        <v>40546</v>
      </c>
      <c r="C10" s="2">
        <v>0</v>
      </c>
      <c r="D10" s="2">
        <f>SUMIFS([1]Sheet1!D:D,[1]Sheet1!A:A,A10,[1]Sheet1!E:E,"Figurado")</f>
        <v>0</v>
      </c>
      <c r="E10" s="2">
        <f>SUMIFS([1]Sheet1!D:D,[1]Sheet1!A:A,A10,[1]Sheet1!E:E,"Mallas")</f>
        <v>1939.84</v>
      </c>
      <c r="F10" s="2">
        <f>SUMIFS([1]Sheet1!D:D,[1]Sheet1!A:A,A10,[1]Sheet1!E:E,"Materia Prima")</f>
        <v>0</v>
      </c>
      <c r="G10" s="2">
        <f t="shared" si="0"/>
        <v>2.4247999999999998</v>
      </c>
      <c r="H10">
        <f t="shared" si="1"/>
        <v>1</v>
      </c>
      <c r="I10" s="2">
        <f t="shared" si="2"/>
        <v>0</v>
      </c>
      <c r="J10" s="2">
        <f t="shared" si="3"/>
        <v>2.4247999999999998</v>
      </c>
    </row>
    <row r="11" spans="1:10" x14ac:dyDescent="0.3">
      <c r="A11">
        <v>1000016986</v>
      </c>
      <c r="B11" s="1">
        <f>VLOOKUP(A11,[1]Sheet1!A:B,2,FALSE)</f>
        <v>40546</v>
      </c>
      <c r="C11" s="2">
        <v>0</v>
      </c>
      <c r="D11" s="2">
        <f>SUMIFS([1]Sheet1!D:D,[1]Sheet1!A:A,A11,[1]Sheet1!E:E,"Figurado")</f>
        <v>320.09999999999997</v>
      </c>
      <c r="E11" s="2">
        <f>SUMIFS([1]Sheet1!D:D,[1]Sheet1!A:A,A11,[1]Sheet1!E:E,"Mallas")</f>
        <v>0</v>
      </c>
      <c r="F11" s="2">
        <f>SUMIFS([1]Sheet1!D:D,[1]Sheet1!A:A,A11,[1]Sheet1!E:E,"Materia Prima")</f>
        <v>0</v>
      </c>
      <c r="G11" s="2">
        <f t="shared" si="0"/>
        <v>0.1231153846153846</v>
      </c>
      <c r="H11">
        <f t="shared" si="1"/>
        <v>1</v>
      </c>
      <c r="I11" s="2">
        <f t="shared" si="2"/>
        <v>0.1231153846153846</v>
      </c>
      <c r="J11" s="2">
        <f t="shared" si="3"/>
        <v>0</v>
      </c>
    </row>
    <row r="12" spans="1:10" x14ac:dyDescent="0.3">
      <c r="A12">
        <v>1000016987</v>
      </c>
      <c r="B12" s="1">
        <f>VLOOKUP(A12,[1]Sheet1!A:B,2,FALSE)</f>
        <v>40546</v>
      </c>
      <c r="C12" s="2">
        <v>0</v>
      </c>
      <c r="D12" s="2">
        <f>SUMIFS([1]Sheet1!D:D,[1]Sheet1!A:A,A12,[1]Sheet1!E:E,"Figurado")</f>
        <v>0</v>
      </c>
      <c r="E12" s="2">
        <f>SUMIFS([1]Sheet1!D:D,[1]Sheet1!A:A,A12,[1]Sheet1!E:E,"Mallas")</f>
        <v>337.44</v>
      </c>
      <c r="F12" s="2">
        <f>SUMIFS([1]Sheet1!D:D,[1]Sheet1!A:A,A12,[1]Sheet1!E:E,"Materia Prima")</f>
        <v>0</v>
      </c>
      <c r="G12" s="2">
        <f t="shared" si="0"/>
        <v>0.42180000000000001</v>
      </c>
      <c r="H12">
        <f t="shared" si="1"/>
        <v>1</v>
      </c>
      <c r="I12" s="2">
        <f t="shared" si="2"/>
        <v>0</v>
      </c>
      <c r="J12" s="2">
        <f t="shared" si="3"/>
        <v>0.42180000000000001</v>
      </c>
    </row>
    <row r="13" spans="1:10" x14ac:dyDescent="0.3">
      <c r="A13">
        <v>1000016988</v>
      </c>
      <c r="B13" s="1">
        <f>VLOOKUP(A13,[1]Sheet1!A:B,2,FALSE)</f>
        <v>40546</v>
      </c>
      <c r="C13" s="2">
        <v>0</v>
      </c>
      <c r="D13" s="2">
        <f>SUMIFS([1]Sheet1!D:D,[1]Sheet1!A:A,A13,[1]Sheet1!E:E,"Figurado")</f>
        <v>0</v>
      </c>
      <c r="E13" s="2">
        <f>SUMIFS([1]Sheet1!D:D,[1]Sheet1!A:A,A13,[1]Sheet1!E:E,"Mallas")</f>
        <v>337.44</v>
      </c>
      <c r="F13" s="2">
        <f>SUMIFS([1]Sheet1!D:D,[1]Sheet1!A:A,A13,[1]Sheet1!E:E,"Materia Prima")</f>
        <v>0</v>
      </c>
      <c r="G13" s="2">
        <f t="shared" si="0"/>
        <v>0.42180000000000001</v>
      </c>
      <c r="H13">
        <f t="shared" si="1"/>
        <v>1</v>
      </c>
      <c r="I13" s="2">
        <f t="shared" si="2"/>
        <v>0</v>
      </c>
      <c r="J13" s="2">
        <f t="shared" si="3"/>
        <v>0.42180000000000001</v>
      </c>
    </row>
    <row r="14" spans="1:10" x14ac:dyDescent="0.3">
      <c r="A14">
        <v>1000016989</v>
      </c>
      <c r="B14" s="1">
        <f>VLOOKUP(A14,[1]Sheet1!A:B,2,FALSE)</f>
        <v>40546</v>
      </c>
      <c r="C14" s="2">
        <v>0</v>
      </c>
      <c r="D14" s="2">
        <f>SUMIFS([1]Sheet1!D:D,[1]Sheet1!A:A,A14,[1]Sheet1!E:E,"Figurado")</f>
        <v>0</v>
      </c>
      <c r="E14" s="2">
        <f>SUMIFS([1]Sheet1!D:D,[1]Sheet1!A:A,A14,[1]Sheet1!E:E,"Mallas")</f>
        <v>1714.18</v>
      </c>
      <c r="F14" s="2">
        <f>SUMIFS([1]Sheet1!D:D,[1]Sheet1!A:A,A14,[1]Sheet1!E:E,"Materia Prima")</f>
        <v>100</v>
      </c>
      <c r="G14" s="2">
        <f t="shared" si="0"/>
        <v>2.142725</v>
      </c>
      <c r="H14">
        <f>(IF(D14&gt;0,1,0) + IF(E14&gt;0,1,0) + IF(F14&gt;0,1,0))</f>
        <v>2</v>
      </c>
      <c r="I14" s="2">
        <f t="shared" si="2"/>
        <v>0</v>
      </c>
      <c r="J14" s="2">
        <f t="shared" si="3"/>
        <v>2.142725</v>
      </c>
    </row>
    <row r="15" spans="1:10" x14ac:dyDescent="0.3">
      <c r="A15">
        <v>1000016990</v>
      </c>
      <c r="B15" s="1">
        <f>VLOOKUP(A15,[1]Sheet1!A:B,2,FALSE)</f>
        <v>40546</v>
      </c>
      <c r="C15" s="2">
        <v>0</v>
      </c>
      <c r="D15" s="2">
        <f>SUMIFS([1]Sheet1!D:D,[1]Sheet1!A:A,A15,[1]Sheet1!E:E,"Figurado")</f>
        <v>0</v>
      </c>
      <c r="E15" s="2">
        <f>SUMIFS([1]Sheet1!D:D,[1]Sheet1!A:A,A15,[1]Sheet1!E:E,"Mallas")</f>
        <v>0</v>
      </c>
      <c r="F15" s="2">
        <f>SUMIFS([1]Sheet1!D:D,[1]Sheet1!A:A,A15,[1]Sheet1!E:E,"Materia Prima")</f>
        <v>250</v>
      </c>
      <c r="G15" s="2">
        <f t="shared" si="0"/>
        <v>0</v>
      </c>
      <c r="H15">
        <f t="shared" si="1"/>
        <v>1</v>
      </c>
      <c r="I15" s="2">
        <f t="shared" si="2"/>
        <v>0</v>
      </c>
      <c r="J15" s="2">
        <f t="shared" si="3"/>
        <v>0</v>
      </c>
    </row>
    <row r="16" spans="1:10" x14ac:dyDescent="0.3">
      <c r="A16">
        <v>1000016991</v>
      </c>
      <c r="B16" s="1">
        <f>VLOOKUP(A16,[1]Sheet1!A:B,2,FALSE)</f>
        <v>40546</v>
      </c>
      <c r="C16" s="2">
        <v>0</v>
      </c>
      <c r="D16" s="2">
        <f>SUMIFS([1]Sheet1!D:D,[1]Sheet1!A:A,A16,[1]Sheet1!E:E,"Figurado")</f>
        <v>2601.9</v>
      </c>
      <c r="E16" s="2">
        <f>SUMIFS([1]Sheet1!D:D,[1]Sheet1!A:A,A16,[1]Sheet1!E:E,"Mallas")</f>
        <v>0</v>
      </c>
      <c r="F16" s="2">
        <f>SUMIFS([1]Sheet1!D:D,[1]Sheet1!A:A,A16,[1]Sheet1!E:E,"Materia Prima")</f>
        <v>322.60000000000002</v>
      </c>
      <c r="G16" s="2">
        <f t="shared" si="0"/>
        <v>1.0007307692307692</v>
      </c>
      <c r="H16">
        <f t="shared" si="1"/>
        <v>2</v>
      </c>
      <c r="I16" s="2">
        <f t="shared" si="2"/>
        <v>1.0007307692307692</v>
      </c>
      <c r="J16" s="2">
        <f t="shared" si="3"/>
        <v>0</v>
      </c>
    </row>
    <row r="17" spans="1:10" x14ac:dyDescent="0.3">
      <c r="A17">
        <v>1000016992</v>
      </c>
      <c r="B17" s="1">
        <f>VLOOKUP(A17,[1]Sheet1!A:B,2,FALSE)</f>
        <v>40546</v>
      </c>
      <c r="C17" s="2">
        <v>0</v>
      </c>
      <c r="D17" s="2">
        <f>SUMIFS([1]Sheet1!D:D,[1]Sheet1!A:A,A17,[1]Sheet1!E:E,"Figurado")</f>
        <v>0</v>
      </c>
      <c r="E17" s="2">
        <f>SUMIFS([1]Sheet1!D:D,[1]Sheet1!A:A,A17,[1]Sheet1!E:E,"Mallas")</f>
        <v>0</v>
      </c>
      <c r="F17" s="2">
        <f>SUMIFS([1]Sheet1!D:D,[1]Sheet1!A:A,A17,[1]Sheet1!E:E,"Materia Prima")</f>
        <v>360</v>
      </c>
      <c r="G17" s="2">
        <f t="shared" si="0"/>
        <v>0</v>
      </c>
      <c r="H17">
        <f t="shared" si="1"/>
        <v>1</v>
      </c>
      <c r="I17" s="2">
        <f t="shared" si="2"/>
        <v>0</v>
      </c>
      <c r="J17" s="2">
        <f t="shared" si="3"/>
        <v>0</v>
      </c>
    </row>
    <row r="18" spans="1:10" x14ac:dyDescent="0.3">
      <c r="A18">
        <v>1000016993</v>
      </c>
      <c r="B18" s="1">
        <f>VLOOKUP(A18,[1]Sheet1!A:B,2,FALSE)</f>
        <v>40546</v>
      </c>
      <c r="C18" s="2">
        <v>0</v>
      </c>
      <c r="D18" s="2">
        <f>SUMIFS([1]Sheet1!D:D,[1]Sheet1!A:A,A18,[1]Sheet1!E:E,"Figurado")</f>
        <v>0</v>
      </c>
      <c r="E18" s="2">
        <f>SUMIFS([1]Sheet1!D:D,[1]Sheet1!A:A,A18,[1]Sheet1!E:E,"Mallas")</f>
        <v>9059</v>
      </c>
      <c r="F18" s="2">
        <f>SUMIFS([1]Sheet1!D:D,[1]Sheet1!A:A,A18,[1]Sheet1!E:E,"Materia Prima")</f>
        <v>0</v>
      </c>
      <c r="G18" s="2">
        <f t="shared" si="0"/>
        <v>11.32375</v>
      </c>
      <c r="H18">
        <f t="shared" si="1"/>
        <v>1</v>
      </c>
      <c r="I18" s="2">
        <f t="shared" si="2"/>
        <v>0</v>
      </c>
      <c r="J18" s="2">
        <f t="shared" si="3"/>
        <v>11.32375</v>
      </c>
    </row>
    <row r="19" spans="1:10" x14ac:dyDescent="0.3">
      <c r="A19">
        <v>1000016994</v>
      </c>
      <c r="B19" s="1">
        <f>VLOOKUP(A19,[1]Sheet1!A:B,2,FALSE)</f>
        <v>40546</v>
      </c>
      <c r="C19" s="2">
        <v>0</v>
      </c>
      <c r="D19" s="2">
        <f>SUMIFS([1]Sheet1!D:D,[1]Sheet1!A:A,A19,[1]Sheet1!E:E,"Figurado")</f>
        <v>9717.4</v>
      </c>
      <c r="E19" s="2">
        <f>SUMIFS([1]Sheet1!D:D,[1]Sheet1!A:A,A19,[1]Sheet1!E:E,"Mallas")</f>
        <v>0</v>
      </c>
      <c r="F19" s="2">
        <f>SUMIFS([1]Sheet1!D:D,[1]Sheet1!A:A,A19,[1]Sheet1!E:E,"Materia Prima")</f>
        <v>0</v>
      </c>
      <c r="G19" s="2">
        <f t="shared" si="0"/>
        <v>3.7374615384615382</v>
      </c>
      <c r="H19">
        <f t="shared" si="1"/>
        <v>1</v>
      </c>
      <c r="I19" s="2">
        <f t="shared" si="2"/>
        <v>3.7374615384615382</v>
      </c>
      <c r="J19" s="2">
        <f t="shared" si="3"/>
        <v>0</v>
      </c>
    </row>
    <row r="20" spans="1:10" x14ac:dyDescent="0.3">
      <c r="A20">
        <v>1000016996</v>
      </c>
      <c r="B20" s="1">
        <f>VLOOKUP(A20,[1]Sheet1!A:B,2,FALSE)</f>
        <v>40546</v>
      </c>
      <c r="C20" s="2">
        <v>0</v>
      </c>
      <c r="D20" s="2">
        <f>SUMIFS([1]Sheet1!D:D,[1]Sheet1!A:A,A20,[1]Sheet1!E:E,"Figurado")</f>
        <v>112</v>
      </c>
      <c r="E20" s="2">
        <f>SUMIFS([1]Sheet1!D:D,[1]Sheet1!A:A,A20,[1]Sheet1!E:E,"Mallas")</f>
        <v>0</v>
      </c>
      <c r="F20" s="2">
        <f>SUMIFS([1]Sheet1!D:D,[1]Sheet1!A:A,A20,[1]Sheet1!E:E,"Materia Prima")</f>
        <v>0</v>
      </c>
      <c r="G20" s="2">
        <f t="shared" si="0"/>
        <v>4.3076923076923075E-2</v>
      </c>
      <c r="H20">
        <f t="shared" si="1"/>
        <v>1</v>
      </c>
      <c r="I20" s="2">
        <f t="shared" si="2"/>
        <v>4.3076923076923075E-2</v>
      </c>
      <c r="J20" s="2">
        <f t="shared" si="3"/>
        <v>0</v>
      </c>
    </row>
    <row r="21" spans="1:10" x14ac:dyDescent="0.3">
      <c r="A21">
        <v>1000016997</v>
      </c>
      <c r="B21" s="1">
        <f>VLOOKUP(A21,[1]Sheet1!A:B,2,FALSE)</f>
        <v>40546</v>
      </c>
      <c r="C21" s="2">
        <v>0</v>
      </c>
      <c r="D21" s="2">
        <f>SUMIFS([1]Sheet1!D:D,[1]Sheet1!A:A,A21,[1]Sheet1!E:E,"Figurado")</f>
        <v>11165.2</v>
      </c>
      <c r="E21" s="2">
        <f>SUMIFS([1]Sheet1!D:D,[1]Sheet1!A:A,A21,[1]Sheet1!E:E,"Mallas")</f>
        <v>0</v>
      </c>
      <c r="F21" s="2">
        <f>SUMIFS([1]Sheet1!D:D,[1]Sheet1!A:A,A21,[1]Sheet1!E:E,"Materia Prima")</f>
        <v>0</v>
      </c>
      <c r="G21" s="2">
        <f t="shared" si="0"/>
        <v>4.2943076923076928</v>
      </c>
      <c r="H21">
        <f t="shared" si="1"/>
        <v>1</v>
      </c>
      <c r="I21" s="2">
        <f t="shared" si="2"/>
        <v>4.2943076923076928</v>
      </c>
      <c r="J21" s="2">
        <f t="shared" si="3"/>
        <v>0</v>
      </c>
    </row>
    <row r="22" spans="1:10" x14ac:dyDescent="0.3">
      <c r="A22">
        <v>1000016999</v>
      </c>
      <c r="B22" s="1">
        <f>VLOOKUP(A22,[1]Sheet1!A:B,2,FALSE)</f>
        <v>40546</v>
      </c>
      <c r="C22" s="2">
        <v>0</v>
      </c>
      <c r="D22" s="2">
        <f>SUMIFS([1]Sheet1!D:D,[1]Sheet1!A:A,A22,[1]Sheet1!E:E,"Figurado")</f>
        <v>8111.4</v>
      </c>
      <c r="E22" s="2">
        <f>SUMIFS([1]Sheet1!D:D,[1]Sheet1!A:A,A22,[1]Sheet1!E:E,"Mallas")</f>
        <v>0</v>
      </c>
      <c r="F22" s="2">
        <f>SUMIFS([1]Sheet1!D:D,[1]Sheet1!A:A,A22,[1]Sheet1!E:E,"Materia Prima")</f>
        <v>2619.8000000000002</v>
      </c>
      <c r="G22" s="2">
        <f t="shared" si="0"/>
        <v>3.1197692307692306</v>
      </c>
      <c r="H22">
        <f t="shared" si="1"/>
        <v>2</v>
      </c>
      <c r="I22" s="2">
        <f t="shared" si="2"/>
        <v>3.1197692307692306</v>
      </c>
      <c r="J22" s="2">
        <f t="shared" si="3"/>
        <v>0</v>
      </c>
    </row>
    <row r="23" spans="1:10" x14ac:dyDescent="0.3">
      <c r="A23">
        <v>1000017001</v>
      </c>
      <c r="B23" s="1">
        <f>VLOOKUP(A23,[1]Sheet1!A:B,2,FALSE)</f>
        <v>40546</v>
      </c>
      <c r="C23" s="2">
        <v>0</v>
      </c>
      <c r="D23" s="2">
        <f>SUMIFS([1]Sheet1!D:D,[1]Sheet1!A:A,A23,[1]Sheet1!E:E,"Figurado")</f>
        <v>0</v>
      </c>
      <c r="E23" s="2">
        <f>SUMIFS([1]Sheet1!D:D,[1]Sheet1!A:A,A23,[1]Sheet1!E:E,"Mallas")</f>
        <v>3787.08</v>
      </c>
      <c r="F23" s="2">
        <f>SUMIFS([1]Sheet1!D:D,[1]Sheet1!A:A,A23,[1]Sheet1!E:E,"Materia Prima")</f>
        <v>0</v>
      </c>
      <c r="G23" s="2">
        <f t="shared" si="0"/>
        <v>4.7338500000000003</v>
      </c>
      <c r="H23">
        <f t="shared" si="1"/>
        <v>1</v>
      </c>
      <c r="I23" s="2">
        <f t="shared" si="2"/>
        <v>0</v>
      </c>
      <c r="J23" s="2">
        <f t="shared" si="3"/>
        <v>4.7338500000000003</v>
      </c>
    </row>
    <row r="24" spans="1:10" x14ac:dyDescent="0.3">
      <c r="A24">
        <v>1000017002</v>
      </c>
      <c r="B24" s="1">
        <f>VLOOKUP(A24,[1]Sheet1!A:B,2,FALSE)</f>
        <v>40546</v>
      </c>
      <c r="C24" s="2">
        <v>0</v>
      </c>
      <c r="D24" s="2">
        <f>SUMIFS([1]Sheet1!D:D,[1]Sheet1!A:A,A24,[1]Sheet1!E:E,"Figurado")</f>
        <v>0</v>
      </c>
      <c r="E24" s="2">
        <f>SUMIFS([1]Sheet1!D:D,[1]Sheet1!A:A,A24,[1]Sheet1!E:E,"Mallas")</f>
        <v>3787.08</v>
      </c>
      <c r="F24" s="2">
        <f>SUMIFS([1]Sheet1!D:D,[1]Sheet1!A:A,A24,[1]Sheet1!E:E,"Materia Prima")</f>
        <v>0</v>
      </c>
      <c r="G24" s="2">
        <f t="shared" si="0"/>
        <v>4.7338500000000003</v>
      </c>
      <c r="H24">
        <f t="shared" si="1"/>
        <v>1</v>
      </c>
      <c r="I24" s="2">
        <f t="shared" si="2"/>
        <v>0</v>
      </c>
      <c r="J24" s="2">
        <f t="shared" si="3"/>
        <v>4.7338500000000003</v>
      </c>
    </row>
    <row r="25" spans="1:10" x14ac:dyDescent="0.3">
      <c r="A25">
        <v>1000017003</v>
      </c>
      <c r="B25" s="1">
        <f>VLOOKUP(A25,[1]Sheet1!A:B,2,FALSE)</f>
        <v>40546</v>
      </c>
      <c r="C25" s="2">
        <v>0</v>
      </c>
      <c r="D25" s="2">
        <f>SUMIFS([1]Sheet1!D:D,[1]Sheet1!A:A,A25,[1]Sheet1!E:E,"Figurado")</f>
        <v>0</v>
      </c>
      <c r="E25" s="2">
        <f>SUMIFS([1]Sheet1!D:D,[1]Sheet1!A:A,A25,[1]Sheet1!E:E,"Mallas")</f>
        <v>3787.08</v>
      </c>
      <c r="F25" s="2">
        <f>SUMIFS([1]Sheet1!D:D,[1]Sheet1!A:A,A25,[1]Sheet1!E:E,"Materia Prima")</f>
        <v>0</v>
      </c>
      <c r="G25" s="2">
        <f t="shared" si="0"/>
        <v>4.7338500000000003</v>
      </c>
      <c r="H25">
        <f t="shared" si="1"/>
        <v>1</v>
      </c>
      <c r="I25" s="2">
        <f t="shared" si="2"/>
        <v>0</v>
      </c>
      <c r="J25" s="2">
        <f t="shared" si="3"/>
        <v>4.7338500000000003</v>
      </c>
    </row>
    <row r="26" spans="1:10" x14ac:dyDescent="0.3">
      <c r="A26">
        <v>1000017004</v>
      </c>
      <c r="B26" s="1">
        <f>VLOOKUP(A26,[1]Sheet1!A:B,2,FALSE)</f>
        <v>40547</v>
      </c>
      <c r="C26" s="2">
        <v>0</v>
      </c>
      <c r="D26" s="2">
        <f>SUMIFS([1]Sheet1!D:D,[1]Sheet1!A:A,A26,[1]Sheet1!E:E,"Figurado")</f>
        <v>9659</v>
      </c>
      <c r="E26" s="2">
        <f>SUMIFS([1]Sheet1!D:D,[1]Sheet1!A:A,A26,[1]Sheet1!E:E,"Mallas")</f>
        <v>0</v>
      </c>
      <c r="F26" s="2">
        <f>SUMIFS([1]Sheet1!D:D,[1]Sheet1!A:A,A26,[1]Sheet1!E:E,"Materia Prima")</f>
        <v>0</v>
      </c>
      <c r="G26" s="2">
        <f t="shared" si="0"/>
        <v>3.7149999999999999</v>
      </c>
      <c r="H26">
        <f t="shared" si="1"/>
        <v>1</v>
      </c>
      <c r="I26" s="2">
        <f t="shared" si="2"/>
        <v>3.7149999999999999</v>
      </c>
      <c r="J26" s="2">
        <f t="shared" si="3"/>
        <v>0</v>
      </c>
    </row>
    <row r="27" spans="1:10" x14ac:dyDescent="0.3">
      <c r="A27">
        <v>1000017006</v>
      </c>
      <c r="B27" s="1">
        <f>VLOOKUP(A27,[1]Sheet1!A:B,2,FALSE)</f>
        <v>40547</v>
      </c>
      <c r="C27" s="2">
        <v>0</v>
      </c>
      <c r="D27" s="2">
        <f>SUMIFS([1]Sheet1!D:D,[1]Sheet1!A:A,A27,[1]Sheet1!E:E,"Figurado")</f>
        <v>0</v>
      </c>
      <c r="E27" s="2">
        <f>SUMIFS([1]Sheet1!D:D,[1]Sheet1!A:A,A27,[1]Sheet1!E:E,"Mallas")</f>
        <v>10038</v>
      </c>
      <c r="F27" s="2">
        <f>SUMIFS([1]Sheet1!D:D,[1]Sheet1!A:A,A27,[1]Sheet1!E:E,"Materia Prima")</f>
        <v>0</v>
      </c>
      <c r="G27" s="2">
        <f t="shared" si="0"/>
        <v>12.547499999999999</v>
      </c>
      <c r="H27">
        <f t="shared" si="1"/>
        <v>1</v>
      </c>
      <c r="I27" s="2">
        <f t="shared" si="2"/>
        <v>0</v>
      </c>
      <c r="J27" s="2">
        <f t="shared" si="3"/>
        <v>12.547499999999999</v>
      </c>
    </row>
    <row r="28" spans="1:10" x14ac:dyDescent="0.3">
      <c r="A28">
        <v>1000017044</v>
      </c>
      <c r="B28" s="1">
        <f>VLOOKUP(A28,[1]Sheet1!A:B,2,FALSE)</f>
        <v>40547</v>
      </c>
      <c r="C28" s="2">
        <v>0</v>
      </c>
      <c r="D28" s="2">
        <f>SUMIFS([1]Sheet1!D:D,[1]Sheet1!A:A,A28,[1]Sheet1!E:E,"Figurado")</f>
        <v>0</v>
      </c>
      <c r="E28" s="2">
        <f>SUMIFS([1]Sheet1!D:D,[1]Sheet1!A:A,A28,[1]Sheet1!E:E,"Mallas")</f>
        <v>0</v>
      </c>
      <c r="F28" s="2">
        <f>SUMIFS([1]Sheet1!D:D,[1]Sheet1!A:A,A28,[1]Sheet1!E:E,"Materia Prima")</f>
        <v>1000</v>
      </c>
      <c r="G28" s="2">
        <f t="shared" si="0"/>
        <v>0</v>
      </c>
      <c r="H28">
        <f t="shared" si="1"/>
        <v>1</v>
      </c>
      <c r="I28" s="2">
        <f t="shared" si="2"/>
        <v>0</v>
      </c>
      <c r="J28" s="2">
        <f t="shared" si="3"/>
        <v>0</v>
      </c>
    </row>
    <row r="29" spans="1:10" x14ac:dyDescent="0.3">
      <c r="A29">
        <v>1000016976</v>
      </c>
      <c r="B29" s="1">
        <f>VLOOKUP(A29,[1]Sheet1!A:B,2,FALSE)</f>
        <v>40546</v>
      </c>
      <c r="C29" s="2">
        <v>0</v>
      </c>
      <c r="D29" s="2">
        <f>SUMIFS([1]Sheet1!D:D,[1]Sheet1!A:A,A29,[1]Sheet1!E:E,"Figurado")</f>
        <v>4627</v>
      </c>
      <c r="E29" s="2">
        <f>SUMIFS([1]Sheet1!D:D,[1]Sheet1!A:A,A29,[1]Sheet1!E:E,"Mallas")</f>
        <v>0</v>
      </c>
      <c r="F29" s="2">
        <f>SUMIFS([1]Sheet1!D:D,[1]Sheet1!A:A,A29,[1]Sheet1!E:E,"Materia Prima")</f>
        <v>309.10000000000002</v>
      </c>
      <c r="G29" s="2">
        <f t="shared" si="0"/>
        <v>1.7796153846153846</v>
      </c>
      <c r="H29">
        <f t="shared" si="1"/>
        <v>2</v>
      </c>
      <c r="I29" s="2">
        <f t="shared" si="2"/>
        <v>1.7796153846153846</v>
      </c>
      <c r="J29" s="2">
        <f t="shared" si="3"/>
        <v>0</v>
      </c>
    </row>
    <row r="30" spans="1:10" x14ac:dyDescent="0.3">
      <c r="A30">
        <v>1000016977</v>
      </c>
      <c r="B30" s="1">
        <f>VLOOKUP(A30,[1]Sheet1!A:B,2,FALSE)</f>
        <v>40546</v>
      </c>
      <c r="C30" s="2">
        <v>0</v>
      </c>
      <c r="D30" s="2">
        <f>SUMIFS([1]Sheet1!D:D,[1]Sheet1!A:A,A30,[1]Sheet1!E:E,"Figurado")</f>
        <v>4627</v>
      </c>
      <c r="E30" s="2">
        <f>SUMIFS([1]Sheet1!D:D,[1]Sheet1!A:A,A30,[1]Sheet1!E:E,"Mallas")</f>
        <v>0</v>
      </c>
      <c r="F30" s="2">
        <f>SUMIFS([1]Sheet1!D:D,[1]Sheet1!A:A,A30,[1]Sheet1!E:E,"Materia Prima")</f>
        <v>309.10000000000002</v>
      </c>
      <c r="G30" s="2">
        <f t="shared" si="0"/>
        <v>1.7796153846153846</v>
      </c>
      <c r="H30">
        <f t="shared" si="1"/>
        <v>2</v>
      </c>
      <c r="I30" s="2">
        <f t="shared" si="2"/>
        <v>1.7796153846153846</v>
      </c>
      <c r="J30" s="2">
        <f t="shared" si="3"/>
        <v>0</v>
      </c>
    </row>
    <row r="31" spans="1:10" x14ac:dyDescent="0.3">
      <c r="A31">
        <v>1000017005</v>
      </c>
      <c r="B31" s="1">
        <f>VLOOKUP(A31,[1]Sheet1!A:B,2,FALSE)</f>
        <v>40547</v>
      </c>
      <c r="C31" s="2">
        <v>0</v>
      </c>
      <c r="D31" s="2">
        <f>SUMIFS([1]Sheet1!D:D,[1]Sheet1!A:A,A31,[1]Sheet1!E:E,"Figurado")</f>
        <v>0</v>
      </c>
      <c r="E31" s="2">
        <f>SUMIFS([1]Sheet1!D:D,[1]Sheet1!A:A,A31,[1]Sheet1!E:E,"Mallas")</f>
        <v>0</v>
      </c>
      <c r="F31" s="2">
        <f>SUMIFS([1]Sheet1!D:D,[1]Sheet1!A:A,A31,[1]Sheet1!E:E,"Materia Prima")</f>
        <v>2352</v>
      </c>
      <c r="G31" s="2">
        <f t="shared" si="0"/>
        <v>0</v>
      </c>
      <c r="H31">
        <f t="shared" si="1"/>
        <v>1</v>
      </c>
      <c r="I31" s="2">
        <f t="shared" si="2"/>
        <v>0</v>
      </c>
      <c r="J31" s="2">
        <f t="shared" si="3"/>
        <v>0</v>
      </c>
    </row>
    <row r="32" spans="1:10" x14ac:dyDescent="0.3">
      <c r="A32">
        <v>1000017007</v>
      </c>
      <c r="B32" s="1">
        <f>VLOOKUP(A32,[1]Sheet1!A:B,2,FALSE)</f>
        <v>40547</v>
      </c>
      <c r="C32" s="2">
        <v>0</v>
      </c>
      <c r="D32" s="2">
        <f>SUMIFS([1]Sheet1!D:D,[1]Sheet1!A:A,A32,[1]Sheet1!E:E,"Figurado")</f>
        <v>5231.2999999999993</v>
      </c>
      <c r="E32" s="2">
        <f>SUMIFS([1]Sheet1!D:D,[1]Sheet1!A:A,A32,[1]Sheet1!E:E,"Mallas")</f>
        <v>0</v>
      </c>
      <c r="F32" s="2">
        <f>SUMIFS([1]Sheet1!D:D,[1]Sheet1!A:A,A32,[1]Sheet1!E:E,"Materia Prima")</f>
        <v>0</v>
      </c>
      <c r="G32" s="2">
        <f t="shared" si="0"/>
        <v>2.0120384615384612</v>
      </c>
      <c r="H32">
        <f t="shared" si="1"/>
        <v>1</v>
      </c>
      <c r="I32" s="2">
        <f t="shared" si="2"/>
        <v>2.0120384615384612</v>
      </c>
      <c r="J32" s="2">
        <f t="shared" si="3"/>
        <v>0</v>
      </c>
    </row>
    <row r="33" spans="1:10" x14ac:dyDescent="0.3">
      <c r="A33">
        <v>1000017008</v>
      </c>
      <c r="B33" s="1">
        <f>VLOOKUP(A33,[1]Sheet1!A:B,2,FALSE)</f>
        <v>40547</v>
      </c>
      <c r="C33" s="2">
        <v>0</v>
      </c>
      <c r="D33" s="2">
        <f>SUMIFS([1]Sheet1!D:D,[1]Sheet1!A:A,A33,[1]Sheet1!E:E,"Figurado")</f>
        <v>1280.2</v>
      </c>
      <c r="E33" s="2">
        <f>SUMIFS([1]Sheet1!D:D,[1]Sheet1!A:A,A33,[1]Sheet1!E:E,"Mallas")</f>
        <v>0</v>
      </c>
      <c r="F33" s="2">
        <f>SUMIFS([1]Sheet1!D:D,[1]Sheet1!A:A,A33,[1]Sheet1!E:E,"Materia Prima")</f>
        <v>0</v>
      </c>
      <c r="G33" s="2">
        <f t="shared" si="0"/>
        <v>0.49238461538461542</v>
      </c>
      <c r="H33">
        <f t="shared" si="1"/>
        <v>1</v>
      </c>
      <c r="I33" s="2">
        <f t="shared" si="2"/>
        <v>0.49238461538461542</v>
      </c>
      <c r="J33" s="2">
        <f t="shared" si="3"/>
        <v>0</v>
      </c>
    </row>
    <row r="34" spans="1:10" x14ac:dyDescent="0.3">
      <c r="A34">
        <v>1000017009</v>
      </c>
      <c r="B34" s="1">
        <f>VLOOKUP(A34,[1]Sheet1!A:B,2,FALSE)</f>
        <v>40547</v>
      </c>
      <c r="C34" s="2">
        <v>0</v>
      </c>
      <c r="D34" s="2">
        <f>SUMIFS([1]Sheet1!D:D,[1]Sheet1!A:A,A34,[1]Sheet1!E:E,"Figurado")</f>
        <v>600.9</v>
      </c>
      <c r="E34" s="2">
        <f>SUMIFS([1]Sheet1!D:D,[1]Sheet1!A:A,A34,[1]Sheet1!E:E,"Mallas")</f>
        <v>0</v>
      </c>
      <c r="F34" s="2">
        <f>SUMIFS([1]Sheet1!D:D,[1]Sheet1!A:A,A34,[1]Sheet1!E:E,"Materia Prima")</f>
        <v>0</v>
      </c>
      <c r="G34" s="2">
        <f t="shared" si="0"/>
        <v>0.23111538461538461</v>
      </c>
      <c r="H34">
        <f t="shared" si="1"/>
        <v>1</v>
      </c>
      <c r="I34" s="2">
        <f t="shared" si="2"/>
        <v>0.23111538461538461</v>
      </c>
      <c r="J34" s="2">
        <f t="shared" si="3"/>
        <v>0</v>
      </c>
    </row>
    <row r="35" spans="1:10" x14ac:dyDescent="0.3">
      <c r="A35">
        <v>1000017010</v>
      </c>
      <c r="B35" s="1">
        <f>VLOOKUP(A35,[1]Sheet1!A:B,2,FALSE)</f>
        <v>40547</v>
      </c>
      <c r="C35" s="2">
        <v>0</v>
      </c>
      <c r="D35" s="2">
        <f>SUMIFS([1]Sheet1!D:D,[1]Sheet1!A:A,A35,[1]Sheet1!E:E,"Figurado")</f>
        <v>1573.4999999999998</v>
      </c>
      <c r="E35" s="2">
        <f>SUMIFS([1]Sheet1!D:D,[1]Sheet1!A:A,A35,[1]Sheet1!E:E,"Mallas")</f>
        <v>0</v>
      </c>
      <c r="F35" s="2">
        <f>SUMIFS([1]Sheet1!D:D,[1]Sheet1!A:A,A35,[1]Sheet1!E:E,"Materia Prima")</f>
        <v>0</v>
      </c>
      <c r="G35" s="2">
        <f t="shared" si="0"/>
        <v>0.60519230769230759</v>
      </c>
      <c r="H35">
        <f t="shared" si="1"/>
        <v>1</v>
      </c>
      <c r="I35" s="2">
        <f t="shared" si="2"/>
        <v>0.60519230769230759</v>
      </c>
      <c r="J35" s="2">
        <f t="shared" si="3"/>
        <v>0</v>
      </c>
    </row>
    <row r="36" spans="1:10" x14ac:dyDescent="0.3">
      <c r="A36">
        <v>1000017013</v>
      </c>
      <c r="B36" s="1">
        <f>VLOOKUP(A36,[1]Sheet1!A:B,2,FALSE)</f>
        <v>40547</v>
      </c>
      <c r="C36" s="2">
        <v>0</v>
      </c>
      <c r="D36" s="2">
        <f>SUMIFS([1]Sheet1!D:D,[1]Sheet1!A:A,A36,[1]Sheet1!E:E,"Figurado")</f>
        <v>2707.1</v>
      </c>
      <c r="E36" s="2">
        <f>SUMIFS([1]Sheet1!D:D,[1]Sheet1!A:A,A36,[1]Sheet1!E:E,"Mallas")</f>
        <v>0</v>
      </c>
      <c r="F36" s="2">
        <f>SUMIFS([1]Sheet1!D:D,[1]Sheet1!A:A,A36,[1]Sheet1!E:E,"Materia Prima")</f>
        <v>0</v>
      </c>
      <c r="G36" s="2">
        <f t="shared" si="0"/>
        <v>1.0411923076923078</v>
      </c>
      <c r="H36">
        <f t="shared" si="1"/>
        <v>1</v>
      </c>
      <c r="I36" s="2">
        <f t="shared" si="2"/>
        <v>1.0411923076923078</v>
      </c>
      <c r="J36" s="2">
        <f t="shared" si="3"/>
        <v>0</v>
      </c>
    </row>
    <row r="37" spans="1:10" x14ac:dyDescent="0.3">
      <c r="A37">
        <v>1000017014</v>
      </c>
      <c r="B37" s="1">
        <f>VLOOKUP(A37,[1]Sheet1!A:B,2,FALSE)</f>
        <v>40547</v>
      </c>
      <c r="C37" s="2">
        <v>0</v>
      </c>
      <c r="D37" s="2">
        <f>SUMIFS([1]Sheet1!D:D,[1]Sheet1!A:A,A37,[1]Sheet1!E:E,"Figurado")</f>
        <v>760.6</v>
      </c>
      <c r="E37" s="2">
        <f>SUMIFS([1]Sheet1!D:D,[1]Sheet1!A:A,A37,[1]Sheet1!E:E,"Mallas")</f>
        <v>0</v>
      </c>
      <c r="F37" s="2">
        <f>SUMIFS([1]Sheet1!D:D,[1]Sheet1!A:A,A37,[1]Sheet1!E:E,"Materia Prima")</f>
        <v>144</v>
      </c>
      <c r="G37" s="2">
        <f t="shared" si="0"/>
        <v>0.29253846153846153</v>
      </c>
      <c r="H37">
        <f t="shared" si="1"/>
        <v>2</v>
      </c>
      <c r="I37" s="2">
        <f t="shared" si="2"/>
        <v>0.29253846153846153</v>
      </c>
      <c r="J37" s="2">
        <f t="shared" si="3"/>
        <v>0</v>
      </c>
    </row>
    <row r="38" spans="1:10" x14ac:dyDescent="0.3">
      <c r="A38">
        <v>1000017015</v>
      </c>
      <c r="B38" s="1">
        <f>VLOOKUP(A38,[1]Sheet1!A:B,2,FALSE)</f>
        <v>40547</v>
      </c>
      <c r="C38" s="2">
        <v>0</v>
      </c>
      <c r="D38" s="2">
        <f>SUMIFS([1]Sheet1!D:D,[1]Sheet1!A:A,A38,[1]Sheet1!E:E,"Figurado")</f>
        <v>1860</v>
      </c>
      <c r="E38" s="2">
        <f>SUMIFS([1]Sheet1!D:D,[1]Sheet1!A:A,A38,[1]Sheet1!E:E,"Mallas")</f>
        <v>0</v>
      </c>
      <c r="F38" s="2">
        <f>SUMIFS([1]Sheet1!D:D,[1]Sheet1!A:A,A38,[1]Sheet1!E:E,"Materia Prima")</f>
        <v>0</v>
      </c>
      <c r="G38" s="2">
        <f t="shared" si="0"/>
        <v>0.7153846153846154</v>
      </c>
      <c r="H38">
        <f t="shared" si="1"/>
        <v>1</v>
      </c>
      <c r="I38" s="2">
        <f t="shared" si="2"/>
        <v>0.7153846153846154</v>
      </c>
      <c r="J38" s="2">
        <f t="shared" si="3"/>
        <v>0</v>
      </c>
    </row>
    <row r="39" spans="1:10" x14ac:dyDescent="0.3">
      <c r="A39">
        <v>1000017016</v>
      </c>
      <c r="B39" s="1">
        <f>VLOOKUP(A39,[1]Sheet1!A:B,2,FALSE)</f>
        <v>40547</v>
      </c>
      <c r="C39" s="2">
        <v>0</v>
      </c>
      <c r="D39" s="2">
        <f>SUMIFS([1]Sheet1!D:D,[1]Sheet1!A:A,A39,[1]Sheet1!E:E,"Figurado")</f>
        <v>1586.6</v>
      </c>
      <c r="E39" s="2">
        <f>SUMIFS([1]Sheet1!D:D,[1]Sheet1!A:A,A39,[1]Sheet1!E:E,"Mallas")</f>
        <v>0</v>
      </c>
      <c r="F39" s="2">
        <f>SUMIFS([1]Sheet1!D:D,[1]Sheet1!A:A,A39,[1]Sheet1!E:E,"Materia Prima")</f>
        <v>0</v>
      </c>
      <c r="G39" s="2">
        <f t="shared" si="0"/>
        <v>0.61023076923076924</v>
      </c>
      <c r="H39">
        <f t="shared" si="1"/>
        <v>1</v>
      </c>
      <c r="I39" s="2">
        <f t="shared" si="2"/>
        <v>0.61023076923076924</v>
      </c>
      <c r="J39" s="2">
        <f t="shared" si="3"/>
        <v>0</v>
      </c>
    </row>
    <row r="40" spans="1:10" x14ac:dyDescent="0.3">
      <c r="A40">
        <v>1000017017</v>
      </c>
      <c r="B40" s="1">
        <f>VLOOKUP(A40,[1]Sheet1!A:B,2,FALSE)</f>
        <v>40547</v>
      </c>
      <c r="C40" s="2">
        <v>0</v>
      </c>
      <c r="D40" s="2">
        <f>SUMIFS([1]Sheet1!D:D,[1]Sheet1!A:A,A40,[1]Sheet1!E:E,"Figurado")</f>
        <v>1135.7</v>
      </c>
      <c r="E40" s="2">
        <f>SUMIFS([1]Sheet1!D:D,[1]Sheet1!A:A,A40,[1]Sheet1!E:E,"Mallas")</f>
        <v>0</v>
      </c>
      <c r="F40" s="2">
        <f>SUMIFS([1]Sheet1!D:D,[1]Sheet1!A:A,A40,[1]Sheet1!E:E,"Materia Prima")</f>
        <v>0</v>
      </c>
      <c r="G40" s="2">
        <f t="shared" si="0"/>
        <v>0.43680769230769234</v>
      </c>
      <c r="H40">
        <f t="shared" si="1"/>
        <v>1</v>
      </c>
      <c r="I40" s="2">
        <f t="shared" si="2"/>
        <v>0.43680769230769234</v>
      </c>
      <c r="J40" s="2">
        <f t="shared" si="3"/>
        <v>0</v>
      </c>
    </row>
    <row r="41" spans="1:10" x14ac:dyDescent="0.3">
      <c r="A41">
        <v>1000017018</v>
      </c>
      <c r="B41" s="1">
        <f>VLOOKUP(A41,[1]Sheet1!A:B,2,FALSE)</f>
        <v>40547</v>
      </c>
      <c r="C41" s="2">
        <v>0</v>
      </c>
      <c r="D41" s="2">
        <f>SUMIFS([1]Sheet1!D:D,[1]Sheet1!A:A,A41,[1]Sheet1!E:E,"Figurado")</f>
        <v>1707.3</v>
      </c>
      <c r="E41" s="2">
        <f>SUMIFS([1]Sheet1!D:D,[1]Sheet1!A:A,A41,[1]Sheet1!E:E,"Mallas")</f>
        <v>0</v>
      </c>
      <c r="F41" s="2">
        <f>SUMIFS([1]Sheet1!D:D,[1]Sheet1!A:A,A41,[1]Sheet1!E:E,"Materia Prima")</f>
        <v>0</v>
      </c>
      <c r="G41" s="2">
        <f t="shared" si="0"/>
        <v>0.65665384615384614</v>
      </c>
      <c r="H41">
        <f t="shared" si="1"/>
        <v>1</v>
      </c>
      <c r="I41" s="2">
        <f t="shared" si="2"/>
        <v>0.65665384615384614</v>
      </c>
      <c r="J41" s="2">
        <f t="shared" si="3"/>
        <v>0</v>
      </c>
    </row>
    <row r="42" spans="1:10" x14ac:dyDescent="0.3">
      <c r="A42">
        <v>1000017019</v>
      </c>
      <c r="B42" s="1">
        <f>VLOOKUP(A42,[1]Sheet1!A:B,2,FALSE)</f>
        <v>40547</v>
      </c>
      <c r="C42" s="2">
        <v>0</v>
      </c>
      <c r="D42" s="2">
        <f>SUMIFS([1]Sheet1!D:D,[1]Sheet1!A:A,A42,[1]Sheet1!E:E,"Figurado")</f>
        <v>337.3</v>
      </c>
      <c r="E42" s="2">
        <f>SUMIFS([1]Sheet1!D:D,[1]Sheet1!A:A,A42,[1]Sheet1!E:E,"Mallas")</f>
        <v>0</v>
      </c>
      <c r="F42" s="2">
        <f>SUMIFS([1]Sheet1!D:D,[1]Sheet1!A:A,A42,[1]Sheet1!E:E,"Materia Prima")</f>
        <v>215</v>
      </c>
      <c r="G42" s="2">
        <f t="shared" si="0"/>
        <v>0.12973076923076923</v>
      </c>
      <c r="H42">
        <f t="shared" si="1"/>
        <v>2</v>
      </c>
      <c r="I42" s="2">
        <f t="shared" si="2"/>
        <v>0.12973076923076923</v>
      </c>
      <c r="J42" s="2">
        <f t="shared" si="3"/>
        <v>0</v>
      </c>
    </row>
    <row r="43" spans="1:10" x14ac:dyDescent="0.3">
      <c r="A43">
        <v>1000017020</v>
      </c>
      <c r="B43" s="1">
        <f>VLOOKUP(A43,[1]Sheet1!A:B,2,FALSE)</f>
        <v>40547</v>
      </c>
      <c r="C43" s="2">
        <v>0</v>
      </c>
      <c r="D43" s="2">
        <f>SUMIFS([1]Sheet1!D:D,[1]Sheet1!A:A,A43,[1]Sheet1!E:E,"Figurado")</f>
        <v>1157.3</v>
      </c>
      <c r="E43" s="2">
        <f>SUMIFS([1]Sheet1!D:D,[1]Sheet1!A:A,A43,[1]Sheet1!E:E,"Mallas")</f>
        <v>0</v>
      </c>
      <c r="F43" s="2">
        <f>SUMIFS([1]Sheet1!D:D,[1]Sheet1!A:A,A43,[1]Sheet1!E:E,"Materia Prima")</f>
        <v>0</v>
      </c>
      <c r="G43" s="2">
        <f t="shared" si="0"/>
        <v>0.44511538461538458</v>
      </c>
      <c r="H43">
        <f t="shared" si="1"/>
        <v>1</v>
      </c>
      <c r="I43" s="2">
        <f t="shared" si="2"/>
        <v>0.44511538461538458</v>
      </c>
      <c r="J43" s="2">
        <f t="shared" si="3"/>
        <v>0</v>
      </c>
    </row>
    <row r="44" spans="1:10" x14ac:dyDescent="0.3">
      <c r="A44">
        <v>1000017021</v>
      </c>
      <c r="B44" s="1">
        <f>VLOOKUP(A44,[1]Sheet1!A:B,2,FALSE)</f>
        <v>40547</v>
      </c>
      <c r="C44" s="2">
        <v>0</v>
      </c>
      <c r="D44" s="2">
        <f>SUMIFS([1]Sheet1!D:D,[1]Sheet1!A:A,A44,[1]Sheet1!E:E,"Figurado")</f>
        <v>143.4</v>
      </c>
      <c r="E44" s="2">
        <f>SUMIFS([1]Sheet1!D:D,[1]Sheet1!A:A,A44,[1]Sheet1!E:E,"Mallas")</f>
        <v>0</v>
      </c>
      <c r="F44" s="2">
        <f>SUMIFS([1]Sheet1!D:D,[1]Sheet1!A:A,A44,[1]Sheet1!E:E,"Materia Prima")</f>
        <v>0</v>
      </c>
      <c r="G44" s="2">
        <f t="shared" si="0"/>
        <v>5.5153846153846157E-2</v>
      </c>
      <c r="H44">
        <f t="shared" si="1"/>
        <v>1</v>
      </c>
      <c r="I44" s="2">
        <f t="shared" si="2"/>
        <v>5.5153846153846157E-2</v>
      </c>
      <c r="J44" s="2">
        <f t="shared" si="3"/>
        <v>0</v>
      </c>
    </row>
    <row r="45" spans="1:10" x14ac:dyDescent="0.3">
      <c r="A45">
        <v>1000017022</v>
      </c>
      <c r="B45" s="1">
        <f>VLOOKUP(A45,[1]Sheet1!A:B,2,FALSE)</f>
        <v>40547</v>
      </c>
      <c r="C45" s="2">
        <v>0</v>
      </c>
      <c r="D45" s="2">
        <f>SUMIFS([1]Sheet1!D:D,[1]Sheet1!A:A,A45,[1]Sheet1!E:E,"Figurado")</f>
        <v>28.7</v>
      </c>
      <c r="E45" s="2">
        <f>SUMIFS([1]Sheet1!D:D,[1]Sheet1!A:A,A45,[1]Sheet1!E:E,"Mallas")</f>
        <v>0</v>
      </c>
      <c r="F45" s="2">
        <f>SUMIFS([1]Sheet1!D:D,[1]Sheet1!A:A,A45,[1]Sheet1!E:E,"Materia Prima")</f>
        <v>0</v>
      </c>
      <c r="G45" s="2">
        <f t="shared" si="0"/>
        <v>1.1038461538461539E-2</v>
      </c>
      <c r="H45">
        <f t="shared" si="1"/>
        <v>1</v>
      </c>
      <c r="I45" s="2">
        <f t="shared" si="2"/>
        <v>1.1038461538461539E-2</v>
      </c>
      <c r="J45" s="2">
        <f t="shared" si="3"/>
        <v>0</v>
      </c>
    </row>
    <row r="46" spans="1:10" x14ac:dyDescent="0.3">
      <c r="A46">
        <v>1000017023</v>
      </c>
      <c r="B46" s="1">
        <f>VLOOKUP(A46,[1]Sheet1!A:B,2,FALSE)</f>
        <v>40547</v>
      </c>
      <c r="C46" s="2">
        <v>0</v>
      </c>
      <c r="D46" s="2">
        <f>SUMIFS([1]Sheet1!D:D,[1]Sheet1!A:A,A46,[1]Sheet1!E:E,"Figurado")</f>
        <v>276.60000000000002</v>
      </c>
      <c r="E46" s="2">
        <f>SUMIFS([1]Sheet1!D:D,[1]Sheet1!A:A,A46,[1]Sheet1!E:E,"Mallas")</f>
        <v>0</v>
      </c>
      <c r="F46" s="2">
        <f>SUMIFS([1]Sheet1!D:D,[1]Sheet1!A:A,A46,[1]Sheet1!E:E,"Materia Prima")</f>
        <v>0</v>
      </c>
      <c r="G46" s="2">
        <f t="shared" si="0"/>
        <v>0.1063846153846154</v>
      </c>
      <c r="H46">
        <f t="shared" si="1"/>
        <v>1</v>
      </c>
      <c r="I46" s="2">
        <f t="shared" si="2"/>
        <v>0.1063846153846154</v>
      </c>
      <c r="J46" s="2">
        <f t="shared" si="3"/>
        <v>0</v>
      </c>
    </row>
    <row r="47" spans="1:10" x14ac:dyDescent="0.3">
      <c r="A47">
        <v>1000017024</v>
      </c>
      <c r="B47" s="1">
        <f>VLOOKUP(A47,[1]Sheet1!A:B,2,FALSE)</f>
        <v>40547</v>
      </c>
      <c r="C47" s="2">
        <v>0</v>
      </c>
      <c r="D47" s="2">
        <f>SUMIFS([1]Sheet1!D:D,[1]Sheet1!A:A,A47,[1]Sheet1!E:E,"Figurado")</f>
        <v>287.39999999999998</v>
      </c>
      <c r="E47" s="2">
        <f>SUMIFS([1]Sheet1!D:D,[1]Sheet1!A:A,A47,[1]Sheet1!E:E,"Mallas")</f>
        <v>0</v>
      </c>
      <c r="F47" s="2">
        <f>SUMIFS([1]Sheet1!D:D,[1]Sheet1!A:A,A47,[1]Sheet1!E:E,"Materia Prima")</f>
        <v>0</v>
      </c>
      <c r="G47" s="2">
        <f t="shared" si="0"/>
        <v>0.11053846153846153</v>
      </c>
      <c r="H47">
        <f t="shared" si="1"/>
        <v>1</v>
      </c>
      <c r="I47" s="2">
        <f t="shared" si="2"/>
        <v>0.11053846153846153</v>
      </c>
      <c r="J47" s="2">
        <f t="shared" si="3"/>
        <v>0</v>
      </c>
    </row>
    <row r="48" spans="1:10" x14ac:dyDescent="0.3">
      <c r="A48">
        <v>1000017025</v>
      </c>
      <c r="B48" s="1">
        <f>VLOOKUP(A48,[1]Sheet1!A:B,2,FALSE)</f>
        <v>40547</v>
      </c>
      <c r="C48" s="2">
        <v>0</v>
      </c>
      <c r="D48" s="2">
        <f>SUMIFS([1]Sheet1!D:D,[1]Sheet1!A:A,A48,[1]Sheet1!E:E,"Figurado")</f>
        <v>278.39999999999998</v>
      </c>
      <c r="E48" s="2">
        <f>SUMIFS([1]Sheet1!D:D,[1]Sheet1!A:A,A48,[1]Sheet1!E:E,"Mallas")</f>
        <v>0</v>
      </c>
      <c r="F48" s="2">
        <f>SUMIFS([1]Sheet1!D:D,[1]Sheet1!A:A,A48,[1]Sheet1!E:E,"Materia Prima")</f>
        <v>0</v>
      </c>
      <c r="G48" s="2">
        <f t="shared" si="0"/>
        <v>0.10707692307692307</v>
      </c>
      <c r="H48">
        <f t="shared" si="1"/>
        <v>1</v>
      </c>
      <c r="I48" s="2">
        <f t="shared" si="2"/>
        <v>0.10707692307692307</v>
      </c>
      <c r="J48" s="2">
        <f t="shared" si="3"/>
        <v>0</v>
      </c>
    </row>
    <row r="49" spans="1:10" x14ac:dyDescent="0.3">
      <c r="A49">
        <v>1000017026</v>
      </c>
      <c r="B49" s="1">
        <f>VLOOKUP(A49,[1]Sheet1!A:B,2,FALSE)</f>
        <v>40547</v>
      </c>
      <c r="C49" s="2">
        <v>0</v>
      </c>
      <c r="D49" s="2">
        <f>SUMIFS([1]Sheet1!D:D,[1]Sheet1!A:A,A49,[1]Sheet1!E:E,"Figurado")</f>
        <v>361.59999999999997</v>
      </c>
      <c r="E49" s="2">
        <f>SUMIFS([1]Sheet1!D:D,[1]Sheet1!A:A,A49,[1]Sheet1!E:E,"Mallas")</f>
        <v>0</v>
      </c>
      <c r="F49" s="2">
        <f>SUMIFS([1]Sheet1!D:D,[1]Sheet1!A:A,A49,[1]Sheet1!E:E,"Materia Prima")</f>
        <v>0</v>
      </c>
      <c r="G49" s="2">
        <f t="shared" si="0"/>
        <v>0.13907692307692307</v>
      </c>
      <c r="H49">
        <f t="shared" si="1"/>
        <v>1</v>
      </c>
      <c r="I49" s="2">
        <f t="shared" si="2"/>
        <v>0.13907692307692307</v>
      </c>
      <c r="J49" s="2">
        <f t="shared" si="3"/>
        <v>0</v>
      </c>
    </row>
    <row r="50" spans="1:10" x14ac:dyDescent="0.3">
      <c r="A50">
        <v>1000017027</v>
      </c>
      <c r="B50" s="1">
        <f>VLOOKUP(A50,[1]Sheet1!A:B,2,FALSE)</f>
        <v>40547</v>
      </c>
      <c r="C50" s="2">
        <v>0</v>
      </c>
      <c r="D50" s="2">
        <f>SUMIFS([1]Sheet1!D:D,[1]Sheet1!A:A,A50,[1]Sheet1!E:E,"Figurado")</f>
        <v>115</v>
      </c>
      <c r="E50" s="2">
        <f>SUMIFS([1]Sheet1!D:D,[1]Sheet1!A:A,A50,[1]Sheet1!E:E,"Mallas")</f>
        <v>0</v>
      </c>
      <c r="F50" s="2">
        <f>SUMIFS([1]Sheet1!D:D,[1]Sheet1!A:A,A50,[1]Sheet1!E:E,"Materia Prima")</f>
        <v>0</v>
      </c>
      <c r="G50" s="2">
        <f t="shared" si="0"/>
        <v>4.4230769230769233E-2</v>
      </c>
      <c r="H50">
        <f t="shared" si="1"/>
        <v>1</v>
      </c>
      <c r="I50" s="2">
        <f t="shared" si="2"/>
        <v>4.4230769230769233E-2</v>
      </c>
      <c r="J50" s="2">
        <f t="shared" si="3"/>
        <v>0</v>
      </c>
    </row>
    <row r="51" spans="1:10" x14ac:dyDescent="0.3">
      <c r="A51">
        <v>1000017028</v>
      </c>
      <c r="B51" s="1">
        <f>VLOOKUP(A51,[1]Sheet1!A:B,2,FALSE)</f>
        <v>40547</v>
      </c>
      <c r="C51" s="2">
        <v>0</v>
      </c>
      <c r="D51" s="2">
        <f>SUMIFS([1]Sheet1!D:D,[1]Sheet1!A:A,A51,[1]Sheet1!E:E,"Figurado")</f>
        <v>32.799999999999997</v>
      </c>
      <c r="E51" s="2">
        <f>SUMIFS([1]Sheet1!D:D,[1]Sheet1!A:A,A51,[1]Sheet1!E:E,"Mallas")</f>
        <v>0</v>
      </c>
      <c r="F51" s="2">
        <f>SUMIFS([1]Sheet1!D:D,[1]Sheet1!A:A,A51,[1]Sheet1!E:E,"Materia Prima")</f>
        <v>0</v>
      </c>
      <c r="G51" s="2">
        <f t="shared" si="0"/>
        <v>1.2615384615384615E-2</v>
      </c>
      <c r="H51">
        <f t="shared" si="1"/>
        <v>1</v>
      </c>
      <c r="I51" s="2">
        <f t="shared" si="2"/>
        <v>1.2615384615384615E-2</v>
      </c>
      <c r="J51" s="2">
        <f t="shared" si="3"/>
        <v>0</v>
      </c>
    </row>
    <row r="52" spans="1:10" x14ac:dyDescent="0.3">
      <c r="A52">
        <v>1000017029</v>
      </c>
      <c r="B52" s="1">
        <f>VLOOKUP(A52,[1]Sheet1!A:B,2,FALSE)</f>
        <v>40547</v>
      </c>
      <c r="C52" s="2">
        <v>0</v>
      </c>
      <c r="D52" s="2">
        <f>SUMIFS([1]Sheet1!D:D,[1]Sheet1!A:A,A52,[1]Sheet1!E:E,"Figurado")</f>
        <v>409.9</v>
      </c>
      <c r="E52" s="2">
        <f>SUMIFS([1]Sheet1!D:D,[1]Sheet1!A:A,A52,[1]Sheet1!E:E,"Mallas")</f>
        <v>0</v>
      </c>
      <c r="F52" s="2">
        <f>SUMIFS([1]Sheet1!D:D,[1]Sheet1!A:A,A52,[1]Sheet1!E:E,"Materia Prima")</f>
        <v>0</v>
      </c>
      <c r="G52" s="2">
        <f t="shared" si="0"/>
        <v>0.15765384615384614</v>
      </c>
      <c r="H52">
        <f t="shared" si="1"/>
        <v>1</v>
      </c>
      <c r="I52" s="2">
        <f t="shared" si="2"/>
        <v>0.15765384615384614</v>
      </c>
      <c r="J52" s="2">
        <f t="shared" si="3"/>
        <v>0</v>
      </c>
    </row>
    <row r="53" spans="1:10" x14ac:dyDescent="0.3">
      <c r="A53">
        <v>1000017030</v>
      </c>
      <c r="B53" s="1">
        <f>VLOOKUP(A53,[1]Sheet1!A:B,2,FALSE)</f>
        <v>40547</v>
      </c>
      <c r="C53" s="2">
        <v>0</v>
      </c>
      <c r="D53" s="2">
        <f>SUMIFS([1]Sheet1!D:D,[1]Sheet1!A:A,A53,[1]Sheet1!E:E,"Figurado")</f>
        <v>42.4</v>
      </c>
      <c r="E53" s="2">
        <f>SUMIFS([1]Sheet1!D:D,[1]Sheet1!A:A,A53,[1]Sheet1!E:E,"Mallas")</f>
        <v>0</v>
      </c>
      <c r="F53" s="2">
        <f>SUMIFS([1]Sheet1!D:D,[1]Sheet1!A:A,A53,[1]Sheet1!E:E,"Materia Prima")</f>
        <v>0</v>
      </c>
      <c r="G53" s="2">
        <f t="shared" si="0"/>
        <v>1.6307692307692308E-2</v>
      </c>
      <c r="H53">
        <f t="shared" si="1"/>
        <v>1</v>
      </c>
      <c r="I53" s="2">
        <f t="shared" si="2"/>
        <v>1.6307692307692308E-2</v>
      </c>
      <c r="J53" s="2">
        <f t="shared" si="3"/>
        <v>0</v>
      </c>
    </row>
    <row r="54" spans="1:10" x14ac:dyDescent="0.3">
      <c r="A54">
        <v>1000017031</v>
      </c>
      <c r="B54" s="1">
        <f>VLOOKUP(A54,[1]Sheet1!A:B,2,FALSE)</f>
        <v>40547</v>
      </c>
      <c r="C54" s="2">
        <v>0</v>
      </c>
      <c r="D54" s="2">
        <f>SUMIFS([1]Sheet1!D:D,[1]Sheet1!A:A,A54,[1]Sheet1!E:E,"Figurado")</f>
        <v>361.59999999999997</v>
      </c>
      <c r="E54" s="2">
        <f>SUMIFS([1]Sheet1!D:D,[1]Sheet1!A:A,A54,[1]Sheet1!E:E,"Mallas")</f>
        <v>0</v>
      </c>
      <c r="F54" s="2">
        <f>SUMIFS([1]Sheet1!D:D,[1]Sheet1!A:A,A54,[1]Sheet1!E:E,"Materia Prima")</f>
        <v>0</v>
      </c>
      <c r="G54" s="2">
        <f t="shared" si="0"/>
        <v>0.13907692307692307</v>
      </c>
      <c r="H54">
        <f t="shared" si="1"/>
        <v>1</v>
      </c>
      <c r="I54" s="2">
        <f t="shared" si="2"/>
        <v>0.13907692307692307</v>
      </c>
      <c r="J54" s="2">
        <f t="shared" si="3"/>
        <v>0</v>
      </c>
    </row>
    <row r="55" spans="1:10" x14ac:dyDescent="0.3">
      <c r="A55">
        <v>1000017032</v>
      </c>
      <c r="B55" s="1">
        <f>VLOOKUP(A55,[1]Sheet1!A:B,2,FALSE)</f>
        <v>40547</v>
      </c>
      <c r="C55" s="2">
        <v>0</v>
      </c>
      <c r="D55" s="2">
        <f>SUMIFS([1]Sheet1!D:D,[1]Sheet1!A:A,A55,[1]Sheet1!E:E,"Figurado")</f>
        <v>416.1</v>
      </c>
      <c r="E55" s="2">
        <f>SUMIFS([1]Sheet1!D:D,[1]Sheet1!A:A,A55,[1]Sheet1!E:E,"Mallas")</f>
        <v>0</v>
      </c>
      <c r="F55" s="2">
        <f>SUMIFS([1]Sheet1!D:D,[1]Sheet1!A:A,A55,[1]Sheet1!E:E,"Materia Prima")</f>
        <v>0</v>
      </c>
      <c r="G55" s="2">
        <f t="shared" si="0"/>
        <v>0.16003846153846155</v>
      </c>
      <c r="H55">
        <f t="shared" si="1"/>
        <v>1</v>
      </c>
      <c r="I55" s="2">
        <f t="shared" si="2"/>
        <v>0.16003846153846155</v>
      </c>
      <c r="J55" s="2">
        <f t="shared" si="3"/>
        <v>0</v>
      </c>
    </row>
    <row r="56" spans="1:10" x14ac:dyDescent="0.3">
      <c r="A56">
        <v>1000017033</v>
      </c>
      <c r="B56" s="1">
        <f>VLOOKUP(A56,[1]Sheet1!A:B,2,FALSE)</f>
        <v>40547</v>
      </c>
      <c r="C56" s="2">
        <v>0</v>
      </c>
      <c r="D56" s="2">
        <f>SUMIFS([1]Sheet1!D:D,[1]Sheet1!A:A,A56,[1]Sheet1!E:E,"Figurado")</f>
        <v>115</v>
      </c>
      <c r="E56" s="2">
        <f>SUMIFS([1]Sheet1!D:D,[1]Sheet1!A:A,A56,[1]Sheet1!E:E,"Mallas")</f>
        <v>0</v>
      </c>
      <c r="F56" s="2">
        <f>SUMIFS([1]Sheet1!D:D,[1]Sheet1!A:A,A56,[1]Sheet1!E:E,"Materia Prima")</f>
        <v>0</v>
      </c>
      <c r="G56" s="2">
        <f t="shared" si="0"/>
        <v>4.4230769230769233E-2</v>
      </c>
      <c r="H56">
        <f t="shared" si="1"/>
        <v>1</v>
      </c>
      <c r="I56" s="2">
        <f t="shared" si="2"/>
        <v>4.4230769230769233E-2</v>
      </c>
      <c r="J56" s="2">
        <f t="shared" si="3"/>
        <v>0</v>
      </c>
    </row>
    <row r="57" spans="1:10" x14ac:dyDescent="0.3">
      <c r="A57">
        <v>1000017034</v>
      </c>
      <c r="B57" s="1">
        <f>VLOOKUP(A57,[1]Sheet1!A:B,2,FALSE)</f>
        <v>40547</v>
      </c>
      <c r="C57" s="2">
        <v>0</v>
      </c>
      <c r="D57" s="2">
        <f>SUMIFS([1]Sheet1!D:D,[1]Sheet1!A:A,A57,[1]Sheet1!E:E,"Figurado")</f>
        <v>32.799999999999997</v>
      </c>
      <c r="E57" s="2">
        <f>SUMIFS([1]Sheet1!D:D,[1]Sheet1!A:A,A57,[1]Sheet1!E:E,"Mallas")</f>
        <v>0</v>
      </c>
      <c r="F57" s="2">
        <f>SUMIFS([1]Sheet1!D:D,[1]Sheet1!A:A,A57,[1]Sheet1!E:E,"Materia Prima")</f>
        <v>0</v>
      </c>
      <c r="G57" s="2">
        <f t="shared" si="0"/>
        <v>1.2615384615384615E-2</v>
      </c>
      <c r="H57">
        <f t="shared" si="1"/>
        <v>1</v>
      </c>
      <c r="I57" s="2">
        <f t="shared" si="2"/>
        <v>1.2615384615384615E-2</v>
      </c>
      <c r="J57" s="2">
        <f t="shared" si="3"/>
        <v>0</v>
      </c>
    </row>
    <row r="58" spans="1:10" x14ac:dyDescent="0.3">
      <c r="A58">
        <v>1000017035</v>
      </c>
      <c r="B58" s="1">
        <f>VLOOKUP(A58,[1]Sheet1!A:B,2,FALSE)</f>
        <v>40547</v>
      </c>
      <c r="C58" s="2">
        <v>0</v>
      </c>
      <c r="D58" s="2">
        <f>SUMIFS([1]Sheet1!D:D,[1]Sheet1!A:A,A58,[1]Sheet1!E:E,"Figurado")</f>
        <v>204.5</v>
      </c>
      <c r="E58" s="2">
        <f>SUMIFS([1]Sheet1!D:D,[1]Sheet1!A:A,A58,[1]Sheet1!E:E,"Mallas")</f>
        <v>0</v>
      </c>
      <c r="F58" s="2">
        <f>SUMIFS([1]Sheet1!D:D,[1]Sheet1!A:A,A58,[1]Sheet1!E:E,"Materia Prima")</f>
        <v>0</v>
      </c>
      <c r="G58" s="2">
        <f t="shared" si="0"/>
        <v>7.8653846153846158E-2</v>
      </c>
      <c r="H58">
        <f t="shared" si="1"/>
        <v>1</v>
      </c>
      <c r="I58" s="2">
        <f t="shared" si="2"/>
        <v>7.8653846153846158E-2</v>
      </c>
      <c r="J58" s="2">
        <f t="shared" si="3"/>
        <v>0</v>
      </c>
    </row>
    <row r="59" spans="1:10" x14ac:dyDescent="0.3">
      <c r="A59">
        <v>1000017036</v>
      </c>
      <c r="B59" s="1">
        <f>VLOOKUP(A59,[1]Sheet1!A:B,2,FALSE)</f>
        <v>40547</v>
      </c>
      <c r="C59" s="2">
        <v>0</v>
      </c>
      <c r="D59" s="2">
        <f>SUMIFS([1]Sheet1!D:D,[1]Sheet1!A:A,A59,[1]Sheet1!E:E,"Figurado")</f>
        <v>409.9</v>
      </c>
      <c r="E59" s="2">
        <f>SUMIFS([1]Sheet1!D:D,[1]Sheet1!A:A,A59,[1]Sheet1!E:E,"Mallas")</f>
        <v>0</v>
      </c>
      <c r="F59" s="2">
        <f>SUMIFS([1]Sheet1!D:D,[1]Sheet1!A:A,A59,[1]Sheet1!E:E,"Materia Prima")</f>
        <v>0</v>
      </c>
      <c r="G59" s="2">
        <f t="shared" si="0"/>
        <v>0.15765384615384614</v>
      </c>
      <c r="H59">
        <f t="shared" si="1"/>
        <v>1</v>
      </c>
      <c r="I59" s="2">
        <f t="shared" si="2"/>
        <v>0.15765384615384614</v>
      </c>
      <c r="J59" s="2">
        <f t="shared" si="3"/>
        <v>0</v>
      </c>
    </row>
    <row r="60" spans="1:10" x14ac:dyDescent="0.3">
      <c r="A60">
        <v>1000017038</v>
      </c>
      <c r="B60" s="1">
        <f>VLOOKUP(A60,[1]Sheet1!A:B,2,FALSE)</f>
        <v>40547</v>
      </c>
      <c r="C60" s="2">
        <v>0</v>
      </c>
      <c r="D60" s="2">
        <f>SUMIFS([1]Sheet1!D:D,[1]Sheet1!A:A,A60,[1]Sheet1!E:E,"Figurado")</f>
        <v>42.4</v>
      </c>
      <c r="E60" s="2">
        <f>SUMIFS([1]Sheet1!D:D,[1]Sheet1!A:A,A60,[1]Sheet1!E:E,"Mallas")</f>
        <v>0</v>
      </c>
      <c r="F60" s="2">
        <f>SUMIFS([1]Sheet1!D:D,[1]Sheet1!A:A,A60,[1]Sheet1!E:E,"Materia Prima")</f>
        <v>0</v>
      </c>
      <c r="G60" s="2">
        <f t="shared" si="0"/>
        <v>1.6307692307692308E-2</v>
      </c>
      <c r="H60">
        <f t="shared" si="1"/>
        <v>1</v>
      </c>
      <c r="I60" s="2">
        <f t="shared" si="2"/>
        <v>1.6307692307692308E-2</v>
      </c>
      <c r="J60" s="2">
        <f t="shared" si="3"/>
        <v>0</v>
      </c>
    </row>
    <row r="61" spans="1:10" x14ac:dyDescent="0.3">
      <c r="A61">
        <v>1000017039</v>
      </c>
      <c r="B61" s="1">
        <f>VLOOKUP(A61,[1]Sheet1!A:B,2,FALSE)</f>
        <v>40547</v>
      </c>
      <c r="C61" s="2">
        <v>0</v>
      </c>
      <c r="D61" s="2">
        <f>SUMIFS([1]Sheet1!D:D,[1]Sheet1!A:A,A61,[1]Sheet1!E:E,"Figurado")</f>
        <v>340.59999999999997</v>
      </c>
      <c r="E61" s="2">
        <f>SUMIFS([1]Sheet1!D:D,[1]Sheet1!A:A,A61,[1]Sheet1!E:E,"Mallas")</f>
        <v>0</v>
      </c>
      <c r="F61" s="2">
        <f>SUMIFS([1]Sheet1!D:D,[1]Sheet1!A:A,A61,[1]Sheet1!E:E,"Materia Prima")</f>
        <v>0</v>
      </c>
      <c r="G61" s="2">
        <f t="shared" si="0"/>
        <v>0.13099999999999998</v>
      </c>
      <c r="H61">
        <f t="shared" si="1"/>
        <v>1</v>
      </c>
      <c r="I61" s="2">
        <f t="shared" si="2"/>
        <v>0.13099999999999998</v>
      </c>
      <c r="J61" s="2">
        <f t="shared" si="3"/>
        <v>0</v>
      </c>
    </row>
    <row r="62" spans="1:10" x14ac:dyDescent="0.3">
      <c r="A62">
        <v>1000017040</v>
      </c>
      <c r="B62" s="1">
        <f>VLOOKUP(A62,[1]Sheet1!A:B,2,FALSE)</f>
        <v>40547</v>
      </c>
      <c r="C62" s="2">
        <v>0</v>
      </c>
      <c r="D62" s="2">
        <f>SUMIFS([1]Sheet1!D:D,[1]Sheet1!A:A,A62,[1]Sheet1!E:E,"Figurado")</f>
        <v>115</v>
      </c>
      <c r="E62" s="2">
        <f>SUMIFS([1]Sheet1!D:D,[1]Sheet1!A:A,A62,[1]Sheet1!E:E,"Mallas")</f>
        <v>0</v>
      </c>
      <c r="F62" s="2">
        <f>SUMIFS([1]Sheet1!D:D,[1]Sheet1!A:A,A62,[1]Sheet1!E:E,"Materia Prima")</f>
        <v>0</v>
      </c>
      <c r="G62" s="2">
        <f t="shared" si="0"/>
        <v>4.4230769230769233E-2</v>
      </c>
      <c r="H62">
        <f t="shared" si="1"/>
        <v>1</v>
      </c>
      <c r="I62" s="2">
        <f t="shared" si="2"/>
        <v>4.4230769230769233E-2</v>
      </c>
      <c r="J62" s="2">
        <f t="shared" si="3"/>
        <v>0</v>
      </c>
    </row>
    <row r="63" spans="1:10" x14ac:dyDescent="0.3">
      <c r="A63">
        <v>1000017041</v>
      </c>
      <c r="B63" s="1">
        <f>VLOOKUP(A63,[1]Sheet1!A:B,2,FALSE)</f>
        <v>40547</v>
      </c>
      <c r="C63" s="2">
        <v>0</v>
      </c>
      <c r="D63" s="2">
        <f>SUMIFS([1]Sheet1!D:D,[1]Sheet1!A:A,A63,[1]Sheet1!E:E,"Figurado")</f>
        <v>237.3</v>
      </c>
      <c r="E63" s="2">
        <f>SUMIFS([1]Sheet1!D:D,[1]Sheet1!A:A,A63,[1]Sheet1!E:E,"Mallas")</f>
        <v>0</v>
      </c>
      <c r="F63" s="2">
        <f>SUMIFS([1]Sheet1!D:D,[1]Sheet1!A:A,A63,[1]Sheet1!E:E,"Materia Prima")</f>
        <v>0</v>
      </c>
      <c r="G63" s="2">
        <f t="shared" si="0"/>
        <v>9.1269230769230769E-2</v>
      </c>
      <c r="H63">
        <f t="shared" si="1"/>
        <v>1</v>
      </c>
      <c r="I63" s="2">
        <f t="shared" si="2"/>
        <v>9.1269230769230769E-2</v>
      </c>
      <c r="J63" s="2">
        <f t="shared" si="3"/>
        <v>0</v>
      </c>
    </row>
    <row r="64" spans="1:10" x14ac:dyDescent="0.3">
      <c r="A64">
        <v>1000017042</v>
      </c>
      <c r="B64" s="1">
        <f>VLOOKUP(A64,[1]Sheet1!A:B,2,FALSE)</f>
        <v>40547</v>
      </c>
      <c r="C64" s="2">
        <v>0</v>
      </c>
      <c r="D64" s="2">
        <f>SUMIFS([1]Sheet1!D:D,[1]Sheet1!A:A,A64,[1]Sheet1!E:E,"Figurado")</f>
        <v>409.9</v>
      </c>
      <c r="E64" s="2">
        <f>SUMIFS([1]Sheet1!D:D,[1]Sheet1!A:A,A64,[1]Sheet1!E:E,"Mallas")</f>
        <v>0</v>
      </c>
      <c r="F64" s="2">
        <f>SUMIFS([1]Sheet1!D:D,[1]Sheet1!A:A,A64,[1]Sheet1!E:E,"Materia Prima")</f>
        <v>0</v>
      </c>
      <c r="G64" s="2">
        <f t="shared" si="0"/>
        <v>0.15765384615384614</v>
      </c>
      <c r="H64">
        <f t="shared" si="1"/>
        <v>1</v>
      </c>
      <c r="I64" s="2">
        <f t="shared" si="2"/>
        <v>0.15765384615384614</v>
      </c>
      <c r="J64" s="2">
        <f t="shared" si="3"/>
        <v>0</v>
      </c>
    </row>
    <row r="65" spans="1:10" x14ac:dyDescent="0.3">
      <c r="A65">
        <v>1000017043</v>
      </c>
      <c r="B65" s="1">
        <f>VLOOKUP(A65,[1]Sheet1!A:B,2,FALSE)</f>
        <v>40547</v>
      </c>
      <c r="C65" s="2">
        <v>0</v>
      </c>
      <c r="D65" s="2">
        <f>SUMIFS([1]Sheet1!D:D,[1]Sheet1!A:A,A65,[1]Sheet1!E:E,"Figurado")</f>
        <v>42.4</v>
      </c>
      <c r="E65" s="2">
        <f>SUMIFS([1]Sheet1!D:D,[1]Sheet1!A:A,A65,[1]Sheet1!E:E,"Mallas")</f>
        <v>0</v>
      </c>
      <c r="F65" s="2">
        <f>SUMIFS([1]Sheet1!D:D,[1]Sheet1!A:A,A65,[1]Sheet1!E:E,"Materia Prima")</f>
        <v>0</v>
      </c>
      <c r="G65" s="2">
        <f t="shared" si="0"/>
        <v>1.6307692307692308E-2</v>
      </c>
      <c r="H65">
        <f t="shared" si="1"/>
        <v>1</v>
      </c>
      <c r="I65" s="2">
        <f t="shared" si="2"/>
        <v>1.6307692307692308E-2</v>
      </c>
      <c r="J65" s="2">
        <f t="shared" si="3"/>
        <v>0</v>
      </c>
    </row>
    <row r="66" spans="1:10" x14ac:dyDescent="0.3">
      <c r="A66">
        <v>1000017048</v>
      </c>
      <c r="B66" s="1">
        <f>VLOOKUP(A66,[1]Sheet1!A:B,2,FALSE)</f>
        <v>40547</v>
      </c>
      <c r="C66" s="2">
        <v>0</v>
      </c>
      <c r="D66" s="2">
        <f>SUMIFS([1]Sheet1!D:D,[1]Sheet1!A:A,A66,[1]Sheet1!E:E,"Figurado")</f>
        <v>81</v>
      </c>
      <c r="E66" s="2">
        <f>SUMIFS([1]Sheet1!D:D,[1]Sheet1!A:A,A66,[1]Sheet1!E:E,"Mallas")</f>
        <v>0</v>
      </c>
      <c r="F66" s="2">
        <f>SUMIFS([1]Sheet1!D:D,[1]Sheet1!A:A,A66,[1]Sheet1!E:E,"Materia Prima")</f>
        <v>0</v>
      </c>
      <c r="G66" s="2">
        <f t="shared" si="0"/>
        <v>3.1153846153846153E-2</v>
      </c>
      <c r="H66">
        <f t="shared" si="1"/>
        <v>1</v>
      </c>
      <c r="I66" s="2">
        <f t="shared" si="2"/>
        <v>3.1153846153846153E-2</v>
      </c>
      <c r="J66" s="2">
        <f t="shared" si="3"/>
        <v>0</v>
      </c>
    </row>
    <row r="67" spans="1:10" x14ac:dyDescent="0.3">
      <c r="A67">
        <v>1000017049</v>
      </c>
      <c r="B67" s="1">
        <f>VLOOKUP(A67,[1]Sheet1!A:B,2,FALSE)</f>
        <v>40547</v>
      </c>
      <c r="C67" s="2">
        <v>0</v>
      </c>
      <c r="D67" s="2">
        <f>SUMIFS([1]Sheet1!D:D,[1]Sheet1!A:A,A67,[1]Sheet1!E:E,"Figurado")</f>
        <v>81</v>
      </c>
      <c r="E67" s="2">
        <f>SUMIFS([1]Sheet1!D:D,[1]Sheet1!A:A,A67,[1]Sheet1!E:E,"Mallas")</f>
        <v>0</v>
      </c>
      <c r="F67" s="2">
        <f>SUMIFS([1]Sheet1!D:D,[1]Sheet1!A:A,A67,[1]Sheet1!E:E,"Materia Prima")</f>
        <v>0</v>
      </c>
      <c r="G67" s="2">
        <f t="shared" ref="G67:G130" si="4">(D67/2600)+(E67/800)</f>
        <v>3.1153846153846153E-2</v>
      </c>
      <c r="H67">
        <f t="shared" ref="H67:H130" si="5">(IF(D67&gt;0,1,0) + IF(E67&gt;0,1,0) + IF(F67&gt;0,1,0))</f>
        <v>1</v>
      </c>
      <c r="I67" s="2">
        <f t="shared" ref="I67:I130" si="6">D67/2600</f>
        <v>3.1153846153846153E-2</v>
      </c>
      <c r="J67" s="2">
        <f t="shared" ref="J67:J130" si="7">E67/800</f>
        <v>0</v>
      </c>
    </row>
    <row r="68" spans="1:10" x14ac:dyDescent="0.3">
      <c r="A68">
        <v>1000017050</v>
      </c>
      <c r="B68" s="1">
        <f>VLOOKUP(A68,[1]Sheet1!A:B,2,FALSE)</f>
        <v>40547</v>
      </c>
      <c r="C68" s="2">
        <v>0</v>
      </c>
      <c r="D68" s="2">
        <f>SUMIFS([1]Sheet1!D:D,[1]Sheet1!A:A,A68,[1]Sheet1!E:E,"Figurado")</f>
        <v>2996.2999999999997</v>
      </c>
      <c r="E68" s="2">
        <f>SUMIFS([1]Sheet1!D:D,[1]Sheet1!A:A,A68,[1]Sheet1!E:E,"Mallas")</f>
        <v>0</v>
      </c>
      <c r="F68" s="2">
        <f>SUMIFS([1]Sheet1!D:D,[1]Sheet1!A:A,A68,[1]Sheet1!E:E,"Materia Prima")</f>
        <v>121</v>
      </c>
      <c r="G68" s="2">
        <f t="shared" si="4"/>
        <v>1.1524230769230768</v>
      </c>
      <c r="H68">
        <f t="shared" si="5"/>
        <v>2</v>
      </c>
      <c r="I68" s="2">
        <f t="shared" si="6"/>
        <v>1.1524230769230768</v>
      </c>
      <c r="J68" s="2">
        <f t="shared" si="7"/>
        <v>0</v>
      </c>
    </row>
    <row r="69" spans="1:10" x14ac:dyDescent="0.3">
      <c r="A69">
        <v>1000017051</v>
      </c>
      <c r="B69" s="1">
        <f>VLOOKUP(A69,[1]Sheet1!A:B,2,FALSE)</f>
        <v>40547</v>
      </c>
      <c r="C69" s="2">
        <v>0</v>
      </c>
      <c r="D69" s="2">
        <f>SUMIFS([1]Sheet1!D:D,[1]Sheet1!A:A,A69,[1]Sheet1!E:E,"Figurado")</f>
        <v>686.3</v>
      </c>
      <c r="E69" s="2">
        <f>SUMIFS([1]Sheet1!D:D,[1]Sheet1!A:A,A69,[1]Sheet1!E:E,"Mallas")</f>
        <v>0</v>
      </c>
      <c r="F69" s="2">
        <f>SUMIFS([1]Sheet1!D:D,[1]Sheet1!A:A,A69,[1]Sheet1!E:E,"Materia Prima")</f>
        <v>1075.2</v>
      </c>
      <c r="G69" s="2">
        <f t="shared" si="4"/>
        <v>0.26396153846153847</v>
      </c>
      <c r="H69">
        <f t="shared" si="5"/>
        <v>2</v>
      </c>
      <c r="I69" s="2">
        <f t="shared" si="6"/>
        <v>0.26396153846153847</v>
      </c>
      <c r="J69" s="2">
        <f t="shared" si="7"/>
        <v>0</v>
      </c>
    </row>
    <row r="70" spans="1:10" x14ac:dyDescent="0.3">
      <c r="A70">
        <v>1000017052</v>
      </c>
      <c r="B70" s="1">
        <f>VLOOKUP(A70,[1]Sheet1!A:B,2,FALSE)</f>
        <v>40547</v>
      </c>
      <c r="C70" s="2">
        <v>0</v>
      </c>
      <c r="D70" s="2">
        <f>SUMIFS([1]Sheet1!D:D,[1]Sheet1!A:A,A70,[1]Sheet1!E:E,"Figurado")</f>
        <v>10338.4</v>
      </c>
      <c r="E70" s="2">
        <f>SUMIFS([1]Sheet1!D:D,[1]Sheet1!A:A,A70,[1]Sheet1!E:E,"Mallas")</f>
        <v>0</v>
      </c>
      <c r="F70" s="2">
        <f>SUMIFS([1]Sheet1!D:D,[1]Sheet1!A:A,A70,[1]Sheet1!E:E,"Materia Prima")</f>
        <v>0</v>
      </c>
      <c r="G70" s="2">
        <f t="shared" si="4"/>
        <v>3.9763076923076923</v>
      </c>
      <c r="H70">
        <f t="shared" si="5"/>
        <v>1</v>
      </c>
      <c r="I70" s="2">
        <f t="shared" si="6"/>
        <v>3.9763076923076923</v>
      </c>
      <c r="J70" s="2">
        <f t="shared" si="7"/>
        <v>0</v>
      </c>
    </row>
    <row r="71" spans="1:10" x14ac:dyDescent="0.3">
      <c r="A71">
        <v>1000017053</v>
      </c>
      <c r="B71" s="1">
        <f>VLOOKUP(A71,[1]Sheet1!A:B,2,FALSE)</f>
        <v>40547</v>
      </c>
      <c r="C71" s="2">
        <v>0</v>
      </c>
      <c r="D71" s="2">
        <f>SUMIFS([1]Sheet1!D:D,[1]Sheet1!A:A,A71,[1]Sheet1!E:E,"Figurado")</f>
        <v>686.3</v>
      </c>
      <c r="E71" s="2">
        <f>SUMIFS([1]Sheet1!D:D,[1]Sheet1!A:A,A71,[1]Sheet1!E:E,"Mallas")</f>
        <v>0</v>
      </c>
      <c r="F71" s="2">
        <f>SUMIFS([1]Sheet1!D:D,[1]Sheet1!A:A,A71,[1]Sheet1!E:E,"Materia Prima")</f>
        <v>1075.2</v>
      </c>
      <c r="G71" s="2">
        <f t="shared" si="4"/>
        <v>0.26396153846153847</v>
      </c>
      <c r="H71">
        <f t="shared" si="5"/>
        <v>2</v>
      </c>
      <c r="I71" s="2">
        <f t="shared" si="6"/>
        <v>0.26396153846153847</v>
      </c>
      <c r="J71" s="2">
        <f t="shared" si="7"/>
        <v>0</v>
      </c>
    </row>
    <row r="72" spans="1:10" x14ac:dyDescent="0.3">
      <c r="A72">
        <v>1000017054</v>
      </c>
      <c r="B72" s="1">
        <f>VLOOKUP(A72,[1]Sheet1!A:B,2,FALSE)</f>
        <v>40547</v>
      </c>
      <c r="C72" s="2">
        <v>0</v>
      </c>
      <c r="D72" s="2">
        <f>SUMIFS([1]Sheet1!D:D,[1]Sheet1!A:A,A72,[1]Sheet1!E:E,"Figurado")</f>
        <v>1579.8000000000002</v>
      </c>
      <c r="E72" s="2">
        <f>SUMIFS([1]Sheet1!D:D,[1]Sheet1!A:A,A72,[1]Sheet1!E:E,"Mallas")</f>
        <v>0</v>
      </c>
      <c r="F72" s="2">
        <f>SUMIFS([1]Sheet1!D:D,[1]Sheet1!A:A,A72,[1]Sheet1!E:E,"Materia Prima")</f>
        <v>0</v>
      </c>
      <c r="G72" s="2">
        <f t="shared" si="4"/>
        <v>0.60761538461538467</v>
      </c>
      <c r="H72">
        <f t="shared" si="5"/>
        <v>1</v>
      </c>
      <c r="I72" s="2">
        <f t="shared" si="6"/>
        <v>0.60761538461538467</v>
      </c>
      <c r="J72" s="2">
        <f t="shared" si="7"/>
        <v>0</v>
      </c>
    </row>
    <row r="73" spans="1:10" x14ac:dyDescent="0.3">
      <c r="A73">
        <v>1000017055</v>
      </c>
      <c r="B73" s="1">
        <f>VLOOKUP(A73,[1]Sheet1!A:B,2,FALSE)</f>
        <v>40548</v>
      </c>
      <c r="C73" s="2">
        <v>0</v>
      </c>
      <c r="D73" s="2">
        <f>SUMIFS([1]Sheet1!D:D,[1]Sheet1!A:A,A73,[1]Sheet1!E:E,"Figurado")</f>
        <v>1613.8</v>
      </c>
      <c r="E73" s="2">
        <f>SUMIFS([1]Sheet1!D:D,[1]Sheet1!A:A,A73,[1]Sheet1!E:E,"Mallas")</f>
        <v>0</v>
      </c>
      <c r="F73" s="2">
        <f>SUMIFS([1]Sheet1!D:D,[1]Sheet1!A:A,A73,[1]Sheet1!E:E,"Materia Prima")</f>
        <v>0</v>
      </c>
      <c r="G73" s="2">
        <f t="shared" si="4"/>
        <v>0.62069230769230765</v>
      </c>
      <c r="H73">
        <f t="shared" si="5"/>
        <v>1</v>
      </c>
      <c r="I73" s="2">
        <f t="shared" si="6"/>
        <v>0.62069230769230765</v>
      </c>
      <c r="J73" s="2">
        <f t="shared" si="7"/>
        <v>0</v>
      </c>
    </row>
    <row r="74" spans="1:10" x14ac:dyDescent="0.3">
      <c r="A74">
        <v>1000017056</v>
      </c>
      <c r="B74" s="1">
        <f>VLOOKUP(A74,[1]Sheet1!A:B,2,FALSE)</f>
        <v>40548</v>
      </c>
      <c r="C74" s="2">
        <v>0</v>
      </c>
      <c r="D74" s="2">
        <f>SUMIFS([1]Sheet1!D:D,[1]Sheet1!A:A,A74,[1]Sheet1!E:E,"Figurado")</f>
        <v>897.8</v>
      </c>
      <c r="E74" s="2">
        <f>SUMIFS([1]Sheet1!D:D,[1]Sheet1!A:A,A74,[1]Sheet1!E:E,"Mallas")</f>
        <v>0</v>
      </c>
      <c r="F74" s="2">
        <f>SUMIFS([1]Sheet1!D:D,[1]Sheet1!A:A,A74,[1]Sheet1!E:E,"Materia Prima")</f>
        <v>0</v>
      </c>
      <c r="G74" s="2">
        <f t="shared" si="4"/>
        <v>0.34530769230769232</v>
      </c>
      <c r="H74">
        <f t="shared" si="5"/>
        <v>1</v>
      </c>
      <c r="I74" s="2">
        <f t="shared" si="6"/>
        <v>0.34530769230769232</v>
      </c>
      <c r="J74" s="2">
        <f t="shared" si="7"/>
        <v>0</v>
      </c>
    </row>
    <row r="75" spans="1:10" x14ac:dyDescent="0.3">
      <c r="A75">
        <v>1000017057</v>
      </c>
      <c r="B75" s="1">
        <f>VLOOKUP(A75,[1]Sheet1!A:B,2,FALSE)</f>
        <v>40548</v>
      </c>
      <c r="C75" s="2">
        <v>0</v>
      </c>
      <c r="D75" s="2">
        <f>SUMIFS([1]Sheet1!D:D,[1]Sheet1!A:A,A75,[1]Sheet1!E:E,"Figurado")</f>
        <v>1339.8</v>
      </c>
      <c r="E75" s="2">
        <f>SUMIFS([1]Sheet1!D:D,[1]Sheet1!A:A,A75,[1]Sheet1!E:E,"Mallas")</f>
        <v>0</v>
      </c>
      <c r="F75" s="2">
        <f>SUMIFS([1]Sheet1!D:D,[1]Sheet1!A:A,A75,[1]Sheet1!E:E,"Materia Prima")</f>
        <v>0</v>
      </c>
      <c r="G75" s="2">
        <f t="shared" si="4"/>
        <v>0.51530769230769224</v>
      </c>
      <c r="H75">
        <f t="shared" si="5"/>
        <v>1</v>
      </c>
      <c r="I75" s="2">
        <f t="shared" si="6"/>
        <v>0.51530769230769224</v>
      </c>
      <c r="J75" s="2">
        <f t="shared" si="7"/>
        <v>0</v>
      </c>
    </row>
    <row r="76" spans="1:10" x14ac:dyDescent="0.3">
      <c r="A76">
        <v>1000017058</v>
      </c>
      <c r="B76" s="1">
        <f>VLOOKUP(A76,[1]Sheet1!A:B,2,FALSE)</f>
        <v>40548</v>
      </c>
      <c r="C76" s="2">
        <v>0</v>
      </c>
      <c r="D76" s="2">
        <f>SUMIFS([1]Sheet1!D:D,[1]Sheet1!A:A,A76,[1]Sheet1!E:E,"Figurado")</f>
        <v>2379.6000000000004</v>
      </c>
      <c r="E76" s="2">
        <f>SUMIFS([1]Sheet1!D:D,[1]Sheet1!A:A,A76,[1]Sheet1!E:E,"Mallas")</f>
        <v>0</v>
      </c>
      <c r="F76" s="2">
        <f>SUMIFS([1]Sheet1!D:D,[1]Sheet1!A:A,A76,[1]Sheet1!E:E,"Materia Prima")</f>
        <v>0</v>
      </c>
      <c r="G76" s="2">
        <f t="shared" si="4"/>
        <v>0.9152307692307694</v>
      </c>
      <c r="H76">
        <f t="shared" si="5"/>
        <v>1</v>
      </c>
      <c r="I76" s="2">
        <f t="shared" si="6"/>
        <v>0.9152307692307694</v>
      </c>
      <c r="J76" s="2">
        <f t="shared" si="7"/>
        <v>0</v>
      </c>
    </row>
    <row r="77" spans="1:10" x14ac:dyDescent="0.3">
      <c r="A77">
        <v>1000017059</v>
      </c>
      <c r="B77" s="1">
        <f>VLOOKUP(A77,[1]Sheet1!A:B,2,FALSE)</f>
        <v>40548</v>
      </c>
      <c r="C77" s="2">
        <v>0</v>
      </c>
      <c r="D77" s="2">
        <f>SUMIFS([1]Sheet1!D:D,[1]Sheet1!A:A,A77,[1]Sheet1!E:E,"Figurado")</f>
        <v>420</v>
      </c>
      <c r="E77" s="2">
        <f>SUMIFS([1]Sheet1!D:D,[1]Sheet1!A:A,A77,[1]Sheet1!E:E,"Mallas")</f>
        <v>0</v>
      </c>
      <c r="F77" s="2">
        <f>SUMIFS([1]Sheet1!D:D,[1]Sheet1!A:A,A77,[1]Sheet1!E:E,"Materia Prima")</f>
        <v>0</v>
      </c>
      <c r="G77" s="2">
        <f t="shared" si="4"/>
        <v>0.16153846153846155</v>
      </c>
      <c r="H77">
        <f t="shared" si="5"/>
        <v>1</v>
      </c>
      <c r="I77" s="2">
        <f t="shared" si="6"/>
        <v>0.16153846153846155</v>
      </c>
      <c r="J77" s="2">
        <f t="shared" si="7"/>
        <v>0</v>
      </c>
    </row>
    <row r="78" spans="1:10" x14ac:dyDescent="0.3">
      <c r="A78">
        <v>1000017060</v>
      </c>
      <c r="B78" s="1">
        <f>VLOOKUP(A78,[1]Sheet1!A:B,2,FALSE)</f>
        <v>40548</v>
      </c>
      <c r="C78" s="2">
        <v>0</v>
      </c>
      <c r="D78" s="2">
        <f>SUMIFS([1]Sheet1!D:D,[1]Sheet1!A:A,A78,[1]Sheet1!E:E,"Figurado")</f>
        <v>3840.6</v>
      </c>
      <c r="E78" s="2">
        <f>SUMIFS([1]Sheet1!D:D,[1]Sheet1!A:A,A78,[1]Sheet1!E:E,"Mallas")</f>
        <v>0</v>
      </c>
      <c r="F78" s="2">
        <f>SUMIFS([1]Sheet1!D:D,[1]Sheet1!A:A,A78,[1]Sheet1!E:E,"Materia Prima")</f>
        <v>0</v>
      </c>
      <c r="G78" s="2">
        <f t="shared" si="4"/>
        <v>1.477153846153846</v>
      </c>
      <c r="H78">
        <f t="shared" si="5"/>
        <v>1</v>
      </c>
      <c r="I78" s="2">
        <f t="shared" si="6"/>
        <v>1.477153846153846</v>
      </c>
      <c r="J78" s="2">
        <f t="shared" si="7"/>
        <v>0</v>
      </c>
    </row>
    <row r="79" spans="1:10" x14ac:dyDescent="0.3">
      <c r="A79">
        <v>1000017067</v>
      </c>
      <c r="B79" s="1">
        <f>VLOOKUP(A79,[1]Sheet1!A:B,2,FALSE)</f>
        <v>40548</v>
      </c>
      <c r="C79" s="2">
        <v>0</v>
      </c>
      <c r="D79" s="2">
        <f>SUMIFS([1]Sheet1!D:D,[1]Sheet1!A:A,A79,[1]Sheet1!E:E,"Figurado")</f>
        <v>7868.5</v>
      </c>
      <c r="E79" s="2">
        <f>SUMIFS([1]Sheet1!D:D,[1]Sheet1!A:A,A79,[1]Sheet1!E:E,"Mallas")</f>
        <v>0</v>
      </c>
      <c r="F79" s="2">
        <f>SUMIFS([1]Sheet1!D:D,[1]Sheet1!A:A,A79,[1]Sheet1!E:E,"Materia Prima")</f>
        <v>818.40000000000009</v>
      </c>
      <c r="G79" s="2">
        <f t="shared" si="4"/>
        <v>3.0263461538461538</v>
      </c>
      <c r="H79">
        <f t="shared" si="5"/>
        <v>2</v>
      </c>
      <c r="I79" s="2">
        <f t="shared" si="6"/>
        <v>3.0263461538461538</v>
      </c>
      <c r="J79" s="2">
        <f t="shared" si="7"/>
        <v>0</v>
      </c>
    </row>
    <row r="80" spans="1:10" x14ac:dyDescent="0.3">
      <c r="A80">
        <v>1000017071</v>
      </c>
      <c r="B80" s="1">
        <f>VLOOKUP(A80,[1]Sheet1!A:B,2,FALSE)</f>
        <v>40548</v>
      </c>
      <c r="C80" s="2">
        <v>0</v>
      </c>
      <c r="D80" s="2">
        <f>SUMIFS([1]Sheet1!D:D,[1]Sheet1!A:A,A80,[1]Sheet1!E:E,"Figurado")</f>
        <v>10047.000000000002</v>
      </c>
      <c r="E80" s="2">
        <f>SUMIFS([1]Sheet1!D:D,[1]Sheet1!A:A,A80,[1]Sheet1!E:E,"Mallas")</f>
        <v>0</v>
      </c>
      <c r="F80" s="2">
        <f>SUMIFS([1]Sheet1!D:D,[1]Sheet1!A:A,A80,[1]Sheet1!E:E,"Materia Prima")</f>
        <v>0</v>
      </c>
      <c r="G80" s="2">
        <f t="shared" si="4"/>
        <v>3.8642307692307698</v>
      </c>
      <c r="H80">
        <f t="shared" si="5"/>
        <v>1</v>
      </c>
      <c r="I80" s="2">
        <f t="shared" si="6"/>
        <v>3.8642307692307698</v>
      </c>
      <c r="J80" s="2">
        <f t="shared" si="7"/>
        <v>0</v>
      </c>
    </row>
    <row r="81" spans="1:10" x14ac:dyDescent="0.3">
      <c r="A81">
        <v>1000017072</v>
      </c>
      <c r="B81" s="1">
        <f>VLOOKUP(A81,[1]Sheet1!A:B,2,FALSE)</f>
        <v>40548</v>
      </c>
      <c r="C81" s="2">
        <v>0</v>
      </c>
      <c r="D81" s="2">
        <f>SUMIFS([1]Sheet1!D:D,[1]Sheet1!A:A,A81,[1]Sheet1!E:E,"Figurado")</f>
        <v>103</v>
      </c>
      <c r="E81" s="2">
        <f>SUMIFS([1]Sheet1!D:D,[1]Sheet1!A:A,A81,[1]Sheet1!E:E,"Mallas")</f>
        <v>0</v>
      </c>
      <c r="F81" s="2">
        <f>SUMIFS([1]Sheet1!D:D,[1]Sheet1!A:A,A81,[1]Sheet1!E:E,"Materia Prima")</f>
        <v>0</v>
      </c>
      <c r="G81" s="2">
        <f t="shared" si="4"/>
        <v>3.9615384615384615E-2</v>
      </c>
      <c r="H81">
        <f t="shared" si="5"/>
        <v>1</v>
      </c>
      <c r="I81" s="2">
        <f t="shared" si="6"/>
        <v>3.9615384615384615E-2</v>
      </c>
      <c r="J81" s="2">
        <f t="shared" si="7"/>
        <v>0</v>
      </c>
    </row>
    <row r="82" spans="1:10" x14ac:dyDescent="0.3">
      <c r="A82">
        <v>1000016998</v>
      </c>
      <c r="B82" s="1">
        <f>VLOOKUP(A82,[1]Sheet1!A:B,2,FALSE)</f>
        <v>40546</v>
      </c>
      <c r="C82" s="2">
        <v>0</v>
      </c>
      <c r="D82" s="2">
        <f>SUMIFS([1]Sheet1!D:D,[1]Sheet1!A:A,A82,[1]Sheet1!E:E,"Figurado")</f>
        <v>0</v>
      </c>
      <c r="E82" s="2">
        <f>SUMIFS([1]Sheet1!D:D,[1]Sheet1!A:A,A82,[1]Sheet1!E:E,"Mallas")</f>
        <v>0</v>
      </c>
      <c r="F82" s="2">
        <f>SUMIFS([1]Sheet1!D:D,[1]Sheet1!A:A,A82,[1]Sheet1!E:E,"Materia Prima")</f>
        <v>35496</v>
      </c>
      <c r="G82" s="2">
        <f t="shared" si="4"/>
        <v>0</v>
      </c>
      <c r="H82">
        <f t="shared" si="5"/>
        <v>1</v>
      </c>
      <c r="I82" s="2">
        <f t="shared" si="6"/>
        <v>0</v>
      </c>
      <c r="J82" s="2">
        <f t="shared" si="7"/>
        <v>0</v>
      </c>
    </row>
    <row r="83" spans="1:10" x14ac:dyDescent="0.3">
      <c r="A83">
        <v>1000017045</v>
      </c>
      <c r="B83" s="1">
        <f>VLOOKUP(A83,[1]Sheet1!A:B,2,FALSE)</f>
        <v>40547</v>
      </c>
      <c r="C83" s="2">
        <v>0</v>
      </c>
      <c r="D83" s="2">
        <f>SUMIFS([1]Sheet1!D:D,[1]Sheet1!A:A,A83,[1]Sheet1!E:E,"Figurado")</f>
        <v>0</v>
      </c>
      <c r="E83" s="2">
        <f>SUMIFS([1]Sheet1!D:D,[1]Sheet1!A:A,A83,[1]Sheet1!E:E,"Mallas")</f>
        <v>564.4</v>
      </c>
      <c r="F83" s="2">
        <f>SUMIFS([1]Sheet1!D:D,[1]Sheet1!A:A,A83,[1]Sheet1!E:E,"Materia Prima")</f>
        <v>0</v>
      </c>
      <c r="G83" s="2">
        <f t="shared" si="4"/>
        <v>0.70550000000000002</v>
      </c>
      <c r="H83">
        <f t="shared" si="5"/>
        <v>1</v>
      </c>
      <c r="I83" s="2">
        <f t="shared" si="6"/>
        <v>0</v>
      </c>
      <c r="J83" s="2">
        <f t="shared" si="7"/>
        <v>0.70550000000000002</v>
      </c>
    </row>
    <row r="84" spans="1:10" x14ac:dyDescent="0.3">
      <c r="A84">
        <v>1000017047</v>
      </c>
      <c r="B84" s="1">
        <f>VLOOKUP(A84,[1]Sheet1!A:B,2,FALSE)</f>
        <v>40547</v>
      </c>
      <c r="C84" s="2">
        <v>0</v>
      </c>
      <c r="D84" s="2">
        <f>SUMIFS([1]Sheet1!D:D,[1]Sheet1!A:A,A84,[1]Sheet1!E:E,"Figurado")</f>
        <v>0</v>
      </c>
      <c r="E84" s="2">
        <f>SUMIFS([1]Sheet1!D:D,[1]Sheet1!A:A,A84,[1]Sheet1!E:E,"Mallas")</f>
        <v>659.3</v>
      </c>
      <c r="F84" s="2">
        <f>SUMIFS([1]Sheet1!D:D,[1]Sheet1!A:A,A84,[1]Sheet1!E:E,"Materia Prima")</f>
        <v>0</v>
      </c>
      <c r="G84" s="2">
        <f t="shared" si="4"/>
        <v>0.824125</v>
      </c>
      <c r="H84">
        <f t="shared" si="5"/>
        <v>1</v>
      </c>
      <c r="I84" s="2">
        <f t="shared" si="6"/>
        <v>0</v>
      </c>
      <c r="J84" s="2">
        <f t="shared" si="7"/>
        <v>0.824125</v>
      </c>
    </row>
    <row r="85" spans="1:10" x14ac:dyDescent="0.3">
      <c r="A85">
        <v>1000017061</v>
      </c>
      <c r="B85" s="1">
        <f>VLOOKUP(A85,[1]Sheet1!A:B,2,FALSE)</f>
        <v>40548</v>
      </c>
      <c r="C85" s="2">
        <v>0</v>
      </c>
      <c r="D85" s="2">
        <f>SUMIFS([1]Sheet1!D:D,[1]Sheet1!A:A,A85,[1]Sheet1!E:E,"Figurado")</f>
        <v>5114.1000000000004</v>
      </c>
      <c r="E85" s="2">
        <f>SUMIFS([1]Sheet1!D:D,[1]Sheet1!A:A,A85,[1]Sheet1!E:E,"Mallas")</f>
        <v>0</v>
      </c>
      <c r="F85" s="2">
        <f>SUMIFS([1]Sheet1!D:D,[1]Sheet1!A:A,A85,[1]Sheet1!E:E,"Materia Prima")</f>
        <v>0</v>
      </c>
      <c r="G85" s="2">
        <f t="shared" si="4"/>
        <v>1.9669615384615386</v>
      </c>
      <c r="H85">
        <f t="shared" si="5"/>
        <v>1</v>
      </c>
      <c r="I85" s="2">
        <f t="shared" si="6"/>
        <v>1.9669615384615386</v>
      </c>
      <c r="J85" s="2">
        <f t="shared" si="7"/>
        <v>0</v>
      </c>
    </row>
    <row r="86" spans="1:10" x14ac:dyDescent="0.3">
      <c r="A86">
        <v>1000017062</v>
      </c>
      <c r="B86" s="1">
        <f>VLOOKUP(A86,[1]Sheet1!A:B,2,FALSE)</f>
        <v>40548</v>
      </c>
      <c r="C86" s="2">
        <v>0</v>
      </c>
      <c r="D86" s="2">
        <f>SUMIFS([1]Sheet1!D:D,[1]Sheet1!A:A,A86,[1]Sheet1!E:E,"Figurado")</f>
        <v>4609.8999999999996</v>
      </c>
      <c r="E86" s="2">
        <f>SUMIFS([1]Sheet1!D:D,[1]Sheet1!A:A,A86,[1]Sheet1!E:E,"Mallas")</f>
        <v>0</v>
      </c>
      <c r="F86" s="2">
        <f>SUMIFS([1]Sheet1!D:D,[1]Sheet1!A:A,A86,[1]Sheet1!E:E,"Materia Prima")</f>
        <v>26.9</v>
      </c>
      <c r="G86" s="2">
        <f t="shared" si="4"/>
        <v>1.7730384615384613</v>
      </c>
      <c r="H86">
        <f t="shared" si="5"/>
        <v>2</v>
      </c>
      <c r="I86" s="2">
        <f t="shared" si="6"/>
        <v>1.7730384615384613</v>
      </c>
      <c r="J86" s="2">
        <f t="shared" si="7"/>
        <v>0</v>
      </c>
    </row>
    <row r="87" spans="1:10" x14ac:dyDescent="0.3">
      <c r="A87">
        <v>1000017068</v>
      </c>
      <c r="B87" s="1">
        <f>VLOOKUP(A87,[1]Sheet1!A:B,2,FALSE)</f>
        <v>40548</v>
      </c>
      <c r="C87" s="2">
        <v>0</v>
      </c>
      <c r="D87" s="2">
        <f>SUMIFS([1]Sheet1!D:D,[1]Sheet1!A:A,A87,[1]Sheet1!E:E,"Figurado")</f>
        <v>0</v>
      </c>
      <c r="E87" s="2">
        <f>SUMIFS([1]Sheet1!D:D,[1]Sheet1!A:A,A87,[1]Sheet1!E:E,"Mallas")</f>
        <v>9405</v>
      </c>
      <c r="F87" s="2">
        <f>SUMIFS([1]Sheet1!D:D,[1]Sheet1!A:A,A87,[1]Sheet1!E:E,"Materia Prima")</f>
        <v>21169.24</v>
      </c>
      <c r="G87" s="2">
        <f t="shared" si="4"/>
        <v>11.75625</v>
      </c>
      <c r="H87">
        <f t="shared" si="5"/>
        <v>2</v>
      </c>
      <c r="I87" s="2">
        <f t="shared" si="6"/>
        <v>0</v>
      </c>
      <c r="J87" s="2">
        <f t="shared" si="7"/>
        <v>11.75625</v>
      </c>
    </row>
    <row r="88" spans="1:10" x14ac:dyDescent="0.3">
      <c r="A88">
        <v>1000017069</v>
      </c>
      <c r="B88" s="1">
        <f>VLOOKUP(A88,[1]Sheet1!A:B,2,FALSE)</f>
        <v>40548</v>
      </c>
      <c r="C88" s="2">
        <v>0</v>
      </c>
      <c r="D88" s="2">
        <f>SUMIFS([1]Sheet1!D:D,[1]Sheet1!A:A,A88,[1]Sheet1!E:E,"Figurado")</f>
        <v>3673.8</v>
      </c>
      <c r="E88" s="2">
        <f>SUMIFS([1]Sheet1!D:D,[1]Sheet1!A:A,A88,[1]Sheet1!E:E,"Mallas")</f>
        <v>0</v>
      </c>
      <c r="F88" s="2">
        <f>SUMIFS([1]Sheet1!D:D,[1]Sheet1!A:A,A88,[1]Sheet1!E:E,"Materia Prima")</f>
        <v>0</v>
      </c>
      <c r="G88" s="2">
        <f t="shared" si="4"/>
        <v>1.413</v>
      </c>
      <c r="H88">
        <f t="shared" si="5"/>
        <v>1</v>
      </c>
      <c r="I88" s="2">
        <f t="shared" si="6"/>
        <v>1.413</v>
      </c>
      <c r="J88" s="2">
        <f t="shared" si="7"/>
        <v>0</v>
      </c>
    </row>
    <row r="89" spans="1:10" x14ac:dyDescent="0.3">
      <c r="A89">
        <v>1000017070</v>
      </c>
      <c r="B89" s="1">
        <f>VLOOKUP(A89,[1]Sheet1!A:B,2,FALSE)</f>
        <v>40548</v>
      </c>
      <c r="C89" s="2">
        <v>0</v>
      </c>
      <c r="D89" s="2">
        <f>SUMIFS([1]Sheet1!D:D,[1]Sheet1!A:A,A89,[1]Sheet1!E:E,"Figurado")</f>
        <v>6740.6</v>
      </c>
      <c r="E89" s="2">
        <f>SUMIFS([1]Sheet1!D:D,[1]Sheet1!A:A,A89,[1]Sheet1!E:E,"Mallas")</f>
        <v>0</v>
      </c>
      <c r="F89" s="2">
        <f>SUMIFS([1]Sheet1!D:D,[1]Sheet1!A:A,A89,[1]Sheet1!E:E,"Materia Prima")</f>
        <v>40.299999999999997</v>
      </c>
      <c r="G89" s="2">
        <f t="shared" si="4"/>
        <v>2.5925384615384615</v>
      </c>
      <c r="H89">
        <f t="shared" si="5"/>
        <v>2</v>
      </c>
      <c r="I89" s="2">
        <f t="shared" si="6"/>
        <v>2.5925384615384615</v>
      </c>
      <c r="J89" s="2">
        <f t="shared" si="7"/>
        <v>0</v>
      </c>
    </row>
    <row r="90" spans="1:10" x14ac:dyDescent="0.3">
      <c r="A90">
        <v>1000017075</v>
      </c>
      <c r="B90" s="1">
        <f>VLOOKUP(A90,[1]Sheet1!A:B,2,FALSE)</f>
        <v>40548</v>
      </c>
      <c r="C90" s="2">
        <v>0</v>
      </c>
      <c r="D90" s="2">
        <f>SUMIFS([1]Sheet1!D:D,[1]Sheet1!A:A,A90,[1]Sheet1!E:E,"Figurado")</f>
        <v>0</v>
      </c>
      <c r="E90" s="2">
        <f>SUMIFS([1]Sheet1!D:D,[1]Sheet1!A:A,A90,[1]Sheet1!E:E,"Mallas")</f>
        <v>22895</v>
      </c>
      <c r="F90" s="2">
        <f>SUMIFS([1]Sheet1!D:D,[1]Sheet1!A:A,A90,[1]Sheet1!E:E,"Materia Prima")</f>
        <v>0</v>
      </c>
      <c r="G90" s="2">
        <f t="shared" si="4"/>
        <v>28.618749999999999</v>
      </c>
      <c r="H90">
        <f t="shared" si="5"/>
        <v>1</v>
      </c>
      <c r="I90" s="2">
        <f t="shared" si="6"/>
        <v>0</v>
      </c>
      <c r="J90" s="2">
        <f t="shared" si="7"/>
        <v>28.618749999999999</v>
      </c>
    </row>
    <row r="91" spans="1:10" x14ac:dyDescent="0.3">
      <c r="A91">
        <v>1000017076</v>
      </c>
      <c r="B91" s="1">
        <f>VLOOKUP(A91,[1]Sheet1!A:B,2,FALSE)</f>
        <v>40548</v>
      </c>
      <c r="C91" s="2">
        <v>0</v>
      </c>
      <c r="D91" s="2">
        <f>SUMIFS([1]Sheet1!D:D,[1]Sheet1!A:A,A91,[1]Sheet1!E:E,"Figurado")</f>
        <v>8164.9000000000005</v>
      </c>
      <c r="E91" s="2">
        <f>SUMIFS([1]Sheet1!D:D,[1]Sheet1!A:A,A91,[1]Sheet1!E:E,"Mallas")</f>
        <v>0</v>
      </c>
      <c r="F91" s="2">
        <f>SUMIFS([1]Sheet1!D:D,[1]Sheet1!A:A,A91,[1]Sheet1!E:E,"Materia Prima")</f>
        <v>0</v>
      </c>
      <c r="G91" s="2">
        <f t="shared" si="4"/>
        <v>3.1403461538461541</v>
      </c>
      <c r="H91">
        <f t="shared" si="5"/>
        <v>1</v>
      </c>
      <c r="I91" s="2">
        <f t="shared" si="6"/>
        <v>3.1403461538461541</v>
      </c>
      <c r="J91" s="2">
        <f t="shared" si="7"/>
        <v>0</v>
      </c>
    </row>
    <row r="92" spans="1:10" x14ac:dyDescent="0.3">
      <c r="A92">
        <v>1000016980</v>
      </c>
      <c r="B92" s="1">
        <f>VLOOKUP(A92,[1]Sheet1!A:B,2,FALSE)</f>
        <v>40546</v>
      </c>
      <c r="C92" s="2">
        <v>0</v>
      </c>
      <c r="D92" s="2">
        <f>SUMIFS([1]Sheet1!D:D,[1]Sheet1!A:A,A92,[1]Sheet1!E:E,"Figurado")</f>
        <v>132.1</v>
      </c>
      <c r="E92" s="2">
        <f>SUMIFS([1]Sheet1!D:D,[1]Sheet1!A:A,A92,[1]Sheet1!E:E,"Mallas")</f>
        <v>0</v>
      </c>
      <c r="F92" s="2">
        <f>SUMIFS([1]Sheet1!D:D,[1]Sheet1!A:A,A92,[1]Sheet1!E:E,"Materia Prima")</f>
        <v>0</v>
      </c>
      <c r="G92" s="2">
        <f t="shared" si="4"/>
        <v>5.0807692307692304E-2</v>
      </c>
      <c r="H92">
        <f t="shared" si="5"/>
        <v>1</v>
      </c>
      <c r="I92" s="2">
        <f t="shared" si="6"/>
        <v>5.0807692307692304E-2</v>
      </c>
      <c r="J92" s="2">
        <f t="shared" si="7"/>
        <v>0</v>
      </c>
    </row>
    <row r="93" spans="1:10" x14ac:dyDescent="0.3">
      <c r="A93">
        <v>1000017064</v>
      </c>
      <c r="B93" s="1">
        <f>VLOOKUP(A93,[1]Sheet1!A:B,2,FALSE)</f>
        <v>40548</v>
      </c>
      <c r="C93" s="2">
        <v>0</v>
      </c>
      <c r="D93" s="2">
        <f>SUMIFS([1]Sheet1!D:D,[1]Sheet1!A:A,A93,[1]Sheet1!E:E,"Figurado")</f>
        <v>0</v>
      </c>
      <c r="E93" s="2">
        <f>SUMIFS([1]Sheet1!D:D,[1]Sheet1!A:A,A93,[1]Sheet1!E:E,"Mallas")</f>
        <v>0</v>
      </c>
      <c r="F93" s="2">
        <f>SUMIFS([1]Sheet1!D:D,[1]Sheet1!A:A,A93,[1]Sheet1!E:E,"Materia Prima")</f>
        <v>200</v>
      </c>
      <c r="G93" s="2">
        <f t="shared" si="4"/>
        <v>0</v>
      </c>
      <c r="H93">
        <f t="shared" si="5"/>
        <v>1</v>
      </c>
      <c r="I93" s="2">
        <f t="shared" si="6"/>
        <v>0</v>
      </c>
      <c r="J93" s="2">
        <f t="shared" si="7"/>
        <v>0</v>
      </c>
    </row>
    <row r="94" spans="1:10" x14ac:dyDescent="0.3">
      <c r="A94">
        <v>1000017065</v>
      </c>
      <c r="B94" s="1">
        <f>VLOOKUP(A94,[1]Sheet1!A:B,2,FALSE)</f>
        <v>40548</v>
      </c>
      <c r="C94" s="2">
        <v>0</v>
      </c>
      <c r="D94" s="2">
        <f>SUMIFS([1]Sheet1!D:D,[1]Sheet1!A:A,A94,[1]Sheet1!E:E,"Figurado")</f>
        <v>0</v>
      </c>
      <c r="E94" s="2">
        <f>SUMIFS([1]Sheet1!D:D,[1]Sheet1!A:A,A94,[1]Sheet1!E:E,"Mallas")</f>
        <v>0</v>
      </c>
      <c r="F94" s="2">
        <f>SUMIFS([1]Sheet1!D:D,[1]Sheet1!A:A,A94,[1]Sheet1!E:E,"Materia Prima")</f>
        <v>450</v>
      </c>
      <c r="G94" s="2">
        <f t="shared" si="4"/>
        <v>0</v>
      </c>
      <c r="H94">
        <f t="shared" si="5"/>
        <v>1</v>
      </c>
      <c r="I94" s="2">
        <f t="shared" si="6"/>
        <v>0</v>
      </c>
      <c r="J94" s="2">
        <f t="shared" si="7"/>
        <v>0</v>
      </c>
    </row>
    <row r="95" spans="1:10" x14ac:dyDescent="0.3">
      <c r="A95">
        <v>1000017066</v>
      </c>
      <c r="B95" s="1">
        <f>VLOOKUP(A95,[1]Sheet1!A:B,2,FALSE)</f>
        <v>40548</v>
      </c>
      <c r="C95" s="2">
        <v>0</v>
      </c>
      <c r="D95" s="2">
        <f>SUMIFS([1]Sheet1!D:D,[1]Sheet1!A:A,A95,[1]Sheet1!E:E,"Figurado")</f>
        <v>0</v>
      </c>
      <c r="E95" s="2">
        <f>SUMIFS([1]Sheet1!D:D,[1]Sheet1!A:A,A95,[1]Sheet1!E:E,"Mallas")</f>
        <v>0</v>
      </c>
      <c r="F95" s="2">
        <f>SUMIFS([1]Sheet1!D:D,[1]Sheet1!A:A,A95,[1]Sheet1!E:E,"Materia Prima")</f>
        <v>812</v>
      </c>
      <c r="G95" s="2">
        <f t="shared" si="4"/>
        <v>0</v>
      </c>
      <c r="H95">
        <f t="shared" si="5"/>
        <v>1</v>
      </c>
      <c r="I95" s="2">
        <f t="shared" si="6"/>
        <v>0</v>
      </c>
      <c r="J95" s="2">
        <f t="shared" si="7"/>
        <v>0</v>
      </c>
    </row>
    <row r="96" spans="1:10" x14ac:dyDescent="0.3">
      <c r="A96">
        <v>1000017073</v>
      </c>
      <c r="B96" s="1">
        <f>VLOOKUP(A96,[1]Sheet1!A:B,2,FALSE)</f>
        <v>40548</v>
      </c>
      <c r="C96" s="2">
        <v>0</v>
      </c>
      <c r="D96" s="2">
        <f>SUMIFS([1]Sheet1!D:D,[1]Sheet1!A:A,A96,[1]Sheet1!E:E,"Figurado")</f>
        <v>663.3</v>
      </c>
      <c r="E96" s="2">
        <f>SUMIFS([1]Sheet1!D:D,[1]Sheet1!A:A,A96,[1]Sheet1!E:E,"Mallas")</f>
        <v>0</v>
      </c>
      <c r="F96" s="2">
        <f>SUMIFS([1]Sheet1!D:D,[1]Sheet1!A:A,A96,[1]Sheet1!E:E,"Materia Prima")</f>
        <v>113.19999999999999</v>
      </c>
      <c r="G96" s="2">
        <f t="shared" si="4"/>
        <v>0.25511538461538458</v>
      </c>
      <c r="H96">
        <f t="shared" si="5"/>
        <v>2</v>
      </c>
      <c r="I96" s="2">
        <f t="shared" si="6"/>
        <v>0.25511538461538458</v>
      </c>
      <c r="J96" s="2">
        <f t="shared" si="7"/>
        <v>0</v>
      </c>
    </row>
    <row r="97" spans="1:10" x14ac:dyDescent="0.3">
      <c r="A97">
        <v>1000017074</v>
      </c>
      <c r="B97" s="1">
        <f>VLOOKUP(A97,[1]Sheet1!A:B,2,FALSE)</f>
        <v>40548</v>
      </c>
      <c r="C97" s="2">
        <v>0</v>
      </c>
      <c r="D97" s="2">
        <f>SUMIFS([1]Sheet1!D:D,[1]Sheet1!A:A,A97,[1]Sheet1!E:E,"Figurado")</f>
        <v>693.1</v>
      </c>
      <c r="E97" s="2">
        <f>SUMIFS([1]Sheet1!D:D,[1]Sheet1!A:A,A97,[1]Sheet1!E:E,"Mallas")</f>
        <v>0</v>
      </c>
      <c r="F97" s="2">
        <f>SUMIFS([1]Sheet1!D:D,[1]Sheet1!A:A,A97,[1]Sheet1!E:E,"Materia Prima")</f>
        <v>0</v>
      </c>
      <c r="G97" s="2">
        <f t="shared" si="4"/>
        <v>0.2665769230769231</v>
      </c>
      <c r="H97">
        <f t="shared" si="5"/>
        <v>1</v>
      </c>
      <c r="I97" s="2">
        <f t="shared" si="6"/>
        <v>0.2665769230769231</v>
      </c>
      <c r="J97" s="2">
        <f t="shared" si="7"/>
        <v>0</v>
      </c>
    </row>
    <row r="98" spans="1:10" x14ac:dyDescent="0.3">
      <c r="A98">
        <v>1000017077</v>
      </c>
      <c r="B98" s="1">
        <f>VLOOKUP(A98,[1]Sheet1!A:B,2,FALSE)</f>
        <v>40548</v>
      </c>
      <c r="C98" s="2">
        <v>0</v>
      </c>
      <c r="D98" s="2">
        <f>SUMIFS([1]Sheet1!D:D,[1]Sheet1!A:A,A98,[1]Sheet1!E:E,"Figurado")</f>
        <v>0</v>
      </c>
      <c r="E98" s="2">
        <f>SUMIFS([1]Sheet1!D:D,[1]Sheet1!A:A,A98,[1]Sheet1!E:E,"Mallas")</f>
        <v>866</v>
      </c>
      <c r="F98" s="2">
        <f>SUMIFS([1]Sheet1!D:D,[1]Sheet1!A:A,A98,[1]Sheet1!E:E,"Materia Prima")</f>
        <v>0</v>
      </c>
      <c r="G98" s="2">
        <f t="shared" si="4"/>
        <v>1.0825</v>
      </c>
      <c r="H98">
        <f t="shared" si="5"/>
        <v>1</v>
      </c>
      <c r="I98" s="2">
        <f t="shared" si="6"/>
        <v>0</v>
      </c>
      <c r="J98" s="2">
        <f t="shared" si="7"/>
        <v>1.0825</v>
      </c>
    </row>
    <row r="99" spans="1:10" x14ac:dyDescent="0.3">
      <c r="A99">
        <v>1000017078</v>
      </c>
      <c r="B99" s="1">
        <f>VLOOKUP(A99,[1]Sheet1!A:B,2,FALSE)</f>
        <v>40548</v>
      </c>
      <c r="C99" s="2">
        <v>0</v>
      </c>
      <c r="D99" s="2">
        <f>SUMIFS([1]Sheet1!D:D,[1]Sheet1!A:A,A99,[1]Sheet1!E:E,"Figurado")</f>
        <v>0</v>
      </c>
      <c r="E99" s="2">
        <f>SUMIFS([1]Sheet1!D:D,[1]Sheet1!A:A,A99,[1]Sheet1!E:E,"Mallas")</f>
        <v>866</v>
      </c>
      <c r="F99" s="2">
        <f>SUMIFS([1]Sheet1!D:D,[1]Sheet1!A:A,A99,[1]Sheet1!E:E,"Materia Prima")</f>
        <v>0</v>
      </c>
      <c r="G99" s="2">
        <f t="shared" si="4"/>
        <v>1.0825</v>
      </c>
      <c r="H99">
        <f t="shared" si="5"/>
        <v>1</v>
      </c>
      <c r="I99" s="2">
        <f t="shared" si="6"/>
        <v>0</v>
      </c>
      <c r="J99" s="2">
        <f t="shared" si="7"/>
        <v>1.0825</v>
      </c>
    </row>
    <row r="100" spans="1:10" x14ac:dyDescent="0.3">
      <c r="A100">
        <v>1000017079</v>
      </c>
      <c r="B100" s="1">
        <f>VLOOKUP(A100,[1]Sheet1!A:B,2,FALSE)</f>
        <v>40548</v>
      </c>
      <c r="C100" s="2">
        <v>0</v>
      </c>
      <c r="D100" s="2">
        <f>SUMIFS([1]Sheet1!D:D,[1]Sheet1!A:A,A100,[1]Sheet1!E:E,"Figurado")</f>
        <v>0</v>
      </c>
      <c r="E100" s="2">
        <f>SUMIFS([1]Sheet1!D:D,[1]Sheet1!A:A,A100,[1]Sheet1!E:E,"Mallas")</f>
        <v>866</v>
      </c>
      <c r="F100" s="2">
        <f>SUMIFS([1]Sheet1!D:D,[1]Sheet1!A:A,A100,[1]Sheet1!E:E,"Materia Prima")</f>
        <v>0</v>
      </c>
      <c r="G100" s="2">
        <f t="shared" si="4"/>
        <v>1.0825</v>
      </c>
      <c r="H100">
        <f t="shared" si="5"/>
        <v>1</v>
      </c>
      <c r="I100" s="2">
        <f t="shared" si="6"/>
        <v>0</v>
      </c>
      <c r="J100" s="2">
        <f t="shared" si="7"/>
        <v>1.0825</v>
      </c>
    </row>
    <row r="101" spans="1:10" x14ac:dyDescent="0.3">
      <c r="A101">
        <v>1000017080</v>
      </c>
      <c r="B101" s="1">
        <f>VLOOKUP(A101,[1]Sheet1!A:B,2,FALSE)</f>
        <v>40548</v>
      </c>
      <c r="C101" s="2">
        <v>0</v>
      </c>
      <c r="D101" s="2">
        <f>SUMIFS([1]Sheet1!D:D,[1]Sheet1!A:A,A101,[1]Sheet1!E:E,"Figurado")</f>
        <v>0</v>
      </c>
      <c r="E101" s="2">
        <f>SUMIFS([1]Sheet1!D:D,[1]Sheet1!A:A,A101,[1]Sheet1!E:E,"Mallas")</f>
        <v>866</v>
      </c>
      <c r="F101" s="2">
        <f>SUMIFS([1]Sheet1!D:D,[1]Sheet1!A:A,A101,[1]Sheet1!E:E,"Materia Prima")</f>
        <v>0</v>
      </c>
      <c r="G101" s="2">
        <f t="shared" si="4"/>
        <v>1.0825</v>
      </c>
      <c r="H101">
        <f t="shared" si="5"/>
        <v>1</v>
      </c>
      <c r="I101" s="2">
        <f t="shared" si="6"/>
        <v>0</v>
      </c>
      <c r="J101" s="2">
        <f t="shared" si="7"/>
        <v>1.0825</v>
      </c>
    </row>
    <row r="102" spans="1:10" x14ac:dyDescent="0.3">
      <c r="A102">
        <v>1000017081</v>
      </c>
      <c r="B102" s="1">
        <f>VLOOKUP(A102,[1]Sheet1!A:B,2,FALSE)</f>
        <v>40548</v>
      </c>
      <c r="C102" s="2">
        <v>0</v>
      </c>
      <c r="D102" s="2">
        <f>SUMIFS([1]Sheet1!D:D,[1]Sheet1!A:A,A102,[1]Sheet1!E:E,"Figurado")</f>
        <v>0</v>
      </c>
      <c r="E102" s="2">
        <f>SUMIFS([1]Sheet1!D:D,[1]Sheet1!A:A,A102,[1]Sheet1!E:E,"Mallas")</f>
        <v>1012.32</v>
      </c>
      <c r="F102" s="2">
        <f>SUMIFS([1]Sheet1!D:D,[1]Sheet1!A:A,A102,[1]Sheet1!E:E,"Materia Prima")</f>
        <v>0</v>
      </c>
      <c r="G102" s="2">
        <f t="shared" si="4"/>
        <v>1.2654000000000001</v>
      </c>
      <c r="H102">
        <f t="shared" si="5"/>
        <v>1</v>
      </c>
      <c r="I102" s="2">
        <f t="shared" si="6"/>
        <v>0</v>
      </c>
      <c r="J102" s="2">
        <f t="shared" si="7"/>
        <v>1.2654000000000001</v>
      </c>
    </row>
    <row r="103" spans="1:10" x14ac:dyDescent="0.3">
      <c r="A103">
        <v>1000017082</v>
      </c>
      <c r="B103" s="1">
        <f>VLOOKUP(A103,[1]Sheet1!A:B,2,FALSE)</f>
        <v>40548</v>
      </c>
      <c r="C103" s="2">
        <v>0</v>
      </c>
      <c r="D103" s="2">
        <f>SUMIFS([1]Sheet1!D:D,[1]Sheet1!A:A,A103,[1]Sheet1!E:E,"Figurado")</f>
        <v>0</v>
      </c>
      <c r="E103" s="2">
        <f>SUMIFS([1]Sheet1!D:D,[1]Sheet1!A:A,A103,[1]Sheet1!E:E,"Mallas")</f>
        <v>0</v>
      </c>
      <c r="F103" s="2">
        <f>SUMIFS([1]Sheet1!D:D,[1]Sheet1!A:A,A103,[1]Sheet1!E:E,"Materia Prima")</f>
        <v>7.8</v>
      </c>
      <c r="G103" s="2">
        <f t="shared" si="4"/>
        <v>0</v>
      </c>
      <c r="H103">
        <f t="shared" si="5"/>
        <v>1</v>
      </c>
      <c r="I103" s="2">
        <f t="shared" si="6"/>
        <v>0</v>
      </c>
      <c r="J103" s="2">
        <f t="shared" si="7"/>
        <v>0</v>
      </c>
    </row>
    <row r="104" spans="1:10" x14ac:dyDescent="0.3">
      <c r="A104">
        <v>1000017083</v>
      </c>
      <c r="B104" s="1">
        <f>VLOOKUP(A104,[1]Sheet1!A:B,2,FALSE)</f>
        <v>40548</v>
      </c>
      <c r="C104" s="2">
        <v>0</v>
      </c>
      <c r="D104" s="2">
        <f>SUMIFS([1]Sheet1!D:D,[1]Sheet1!A:A,A104,[1]Sheet1!E:E,"Figurado")</f>
        <v>0</v>
      </c>
      <c r="E104" s="2">
        <f>SUMIFS([1]Sheet1!D:D,[1]Sheet1!A:A,A104,[1]Sheet1!E:E,"Mallas")</f>
        <v>0</v>
      </c>
      <c r="F104" s="2">
        <f>SUMIFS([1]Sheet1!D:D,[1]Sheet1!A:A,A104,[1]Sheet1!E:E,"Materia Prima")</f>
        <v>7.8</v>
      </c>
      <c r="G104" s="2">
        <f t="shared" si="4"/>
        <v>0</v>
      </c>
      <c r="H104">
        <f t="shared" si="5"/>
        <v>1</v>
      </c>
      <c r="I104" s="2">
        <f t="shared" si="6"/>
        <v>0</v>
      </c>
      <c r="J104" s="2">
        <f t="shared" si="7"/>
        <v>0</v>
      </c>
    </row>
    <row r="105" spans="1:10" x14ac:dyDescent="0.3">
      <c r="A105">
        <v>1000017084</v>
      </c>
      <c r="B105" s="1">
        <f>VLOOKUP(A105,[1]Sheet1!A:B,2,FALSE)</f>
        <v>40548</v>
      </c>
      <c r="C105" s="2">
        <v>0</v>
      </c>
      <c r="D105" s="2">
        <f>SUMIFS([1]Sheet1!D:D,[1]Sheet1!A:A,A105,[1]Sheet1!E:E,"Figurado")</f>
        <v>0</v>
      </c>
      <c r="E105" s="2">
        <f>SUMIFS([1]Sheet1!D:D,[1]Sheet1!A:A,A105,[1]Sheet1!E:E,"Mallas")</f>
        <v>0</v>
      </c>
      <c r="F105" s="2">
        <f>SUMIFS([1]Sheet1!D:D,[1]Sheet1!A:A,A105,[1]Sheet1!E:E,"Materia Prima")</f>
        <v>7.8</v>
      </c>
      <c r="G105" s="2">
        <f t="shared" si="4"/>
        <v>0</v>
      </c>
      <c r="H105">
        <f t="shared" si="5"/>
        <v>1</v>
      </c>
      <c r="I105" s="2">
        <f t="shared" si="6"/>
        <v>0</v>
      </c>
      <c r="J105" s="2">
        <f t="shared" si="7"/>
        <v>0</v>
      </c>
    </row>
    <row r="106" spans="1:10" x14ac:dyDescent="0.3">
      <c r="A106">
        <v>1000017085</v>
      </c>
      <c r="B106" s="1">
        <f>VLOOKUP(A106,[1]Sheet1!A:B,2,FALSE)</f>
        <v>40548</v>
      </c>
      <c r="C106" s="2">
        <v>0</v>
      </c>
      <c r="D106" s="2">
        <f>SUMIFS([1]Sheet1!D:D,[1]Sheet1!A:A,A106,[1]Sheet1!E:E,"Figurado")</f>
        <v>0</v>
      </c>
      <c r="E106" s="2">
        <f>SUMIFS([1]Sheet1!D:D,[1]Sheet1!A:A,A106,[1]Sheet1!E:E,"Mallas")</f>
        <v>0</v>
      </c>
      <c r="F106" s="2">
        <f>SUMIFS([1]Sheet1!D:D,[1]Sheet1!A:A,A106,[1]Sheet1!E:E,"Materia Prima")</f>
        <v>7.8</v>
      </c>
      <c r="G106" s="2">
        <f t="shared" si="4"/>
        <v>0</v>
      </c>
      <c r="H106">
        <f t="shared" si="5"/>
        <v>1</v>
      </c>
      <c r="I106" s="2">
        <f t="shared" si="6"/>
        <v>0</v>
      </c>
      <c r="J106" s="2">
        <f t="shared" si="7"/>
        <v>0</v>
      </c>
    </row>
    <row r="107" spans="1:10" x14ac:dyDescent="0.3">
      <c r="A107">
        <v>1000017098</v>
      </c>
      <c r="B107" s="1">
        <f>VLOOKUP(A107,[1]Sheet1!A:B,2,FALSE)</f>
        <v>40549</v>
      </c>
      <c r="C107" s="2">
        <v>0</v>
      </c>
      <c r="D107" s="2">
        <f>SUMIFS([1]Sheet1!D:D,[1]Sheet1!A:A,A107,[1]Sheet1!E:E,"Figurado")</f>
        <v>1044.9000000000001</v>
      </c>
      <c r="E107" s="2">
        <f>SUMIFS([1]Sheet1!D:D,[1]Sheet1!A:A,A107,[1]Sheet1!E:E,"Mallas")</f>
        <v>0</v>
      </c>
      <c r="F107" s="2">
        <f>SUMIFS([1]Sheet1!D:D,[1]Sheet1!A:A,A107,[1]Sheet1!E:E,"Materia Prima")</f>
        <v>0</v>
      </c>
      <c r="G107" s="2">
        <f t="shared" si="4"/>
        <v>0.4018846153846154</v>
      </c>
      <c r="H107">
        <f t="shared" si="5"/>
        <v>1</v>
      </c>
      <c r="I107" s="2">
        <f t="shared" si="6"/>
        <v>0.4018846153846154</v>
      </c>
      <c r="J107" s="2">
        <f t="shared" si="7"/>
        <v>0</v>
      </c>
    </row>
    <row r="108" spans="1:10" x14ac:dyDescent="0.3">
      <c r="A108">
        <v>1000017099</v>
      </c>
      <c r="B108" s="1">
        <f>VLOOKUP(A108,[1]Sheet1!A:B,2,FALSE)</f>
        <v>40549</v>
      </c>
      <c r="C108" s="2">
        <v>0</v>
      </c>
      <c r="D108" s="2">
        <f>SUMIFS([1]Sheet1!D:D,[1]Sheet1!A:A,A108,[1]Sheet1!E:E,"Figurado")</f>
        <v>4179.7</v>
      </c>
      <c r="E108" s="2">
        <f>SUMIFS([1]Sheet1!D:D,[1]Sheet1!A:A,A108,[1]Sheet1!E:E,"Mallas")</f>
        <v>0</v>
      </c>
      <c r="F108" s="2">
        <f>SUMIFS([1]Sheet1!D:D,[1]Sheet1!A:A,A108,[1]Sheet1!E:E,"Materia Prima")</f>
        <v>0</v>
      </c>
      <c r="G108" s="2">
        <f t="shared" si="4"/>
        <v>1.607576923076923</v>
      </c>
      <c r="H108">
        <f t="shared" si="5"/>
        <v>1</v>
      </c>
      <c r="I108" s="2">
        <f t="shared" si="6"/>
        <v>1.607576923076923</v>
      </c>
      <c r="J108" s="2">
        <f t="shared" si="7"/>
        <v>0</v>
      </c>
    </row>
    <row r="109" spans="1:10" x14ac:dyDescent="0.3">
      <c r="A109">
        <v>1000017100</v>
      </c>
      <c r="B109" s="1">
        <f>VLOOKUP(A109,[1]Sheet1!A:B,2,FALSE)</f>
        <v>40549</v>
      </c>
      <c r="C109" s="2">
        <v>0</v>
      </c>
      <c r="D109" s="2">
        <f>SUMIFS([1]Sheet1!D:D,[1]Sheet1!A:A,A109,[1]Sheet1!E:E,"Figurado")</f>
        <v>3616.3</v>
      </c>
      <c r="E109" s="2">
        <f>SUMIFS([1]Sheet1!D:D,[1]Sheet1!A:A,A109,[1]Sheet1!E:E,"Mallas")</f>
        <v>0</v>
      </c>
      <c r="F109" s="2">
        <f>SUMIFS([1]Sheet1!D:D,[1]Sheet1!A:A,A109,[1]Sheet1!E:E,"Materia Prima")</f>
        <v>0</v>
      </c>
      <c r="G109" s="2">
        <f t="shared" si="4"/>
        <v>1.3908846153846155</v>
      </c>
      <c r="H109">
        <f t="shared" si="5"/>
        <v>1</v>
      </c>
      <c r="I109" s="2">
        <f t="shared" si="6"/>
        <v>1.3908846153846155</v>
      </c>
      <c r="J109" s="2">
        <f t="shared" si="7"/>
        <v>0</v>
      </c>
    </row>
    <row r="110" spans="1:10" x14ac:dyDescent="0.3">
      <c r="A110">
        <v>1000017101</v>
      </c>
      <c r="B110" s="1">
        <f>VLOOKUP(A110,[1]Sheet1!A:B,2,FALSE)</f>
        <v>40549</v>
      </c>
      <c r="C110" s="2">
        <v>0</v>
      </c>
      <c r="D110" s="2">
        <f>SUMIFS([1]Sheet1!D:D,[1]Sheet1!A:A,A110,[1]Sheet1!E:E,"Figurado")</f>
        <v>5371.7000000000007</v>
      </c>
      <c r="E110" s="2">
        <f>SUMIFS([1]Sheet1!D:D,[1]Sheet1!A:A,A110,[1]Sheet1!E:E,"Mallas")</f>
        <v>0</v>
      </c>
      <c r="F110" s="2">
        <f>SUMIFS([1]Sheet1!D:D,[1]Sheet1!A:A,A110,[1]Sheet1!E:E,"Materia Prima")</f>
        <v>0</v>
      </c>
      <c r="G110" s="2">
        <f t="shared" si="4"/>
        <v>2.0660384615384619</v>
      </c>
      <c r="H110">
        <f t="shared" si="5"/>
        <v>1</v>
      </c>
      <c r="I110" s="2">
        <f t="shared" si="6"/>
        <v>2.0660384615384619</v>
      </c>
      <c r="J110" s="2">
        <f t="shared" si="7"/>
        <v>0</v>
      </c>
    </row>
    <row r="111" spans="1:10" x14ac:dyDescent="0.3">
      <c r="A111">
        <v>1000017102</v>
      </c>
      <c r="B111" s="1">
        <f>VLOOKUP(A111,[1]Sheet1!A:B,2,FALSE)</f>
        <v>40549</v>
      </c>
      <c r="C111" s="2">
        <v>0</v>
      </c>
      <c r="D111" s="2">
        <f>SUMIFS([1]Sheet1!D:D,[1]Sheet1!A:A,A111,[1]Sheet1!E:E,"Figurado")</f>
        <v>15206.8</v>
      </c>
      <c r="E111" s="2">
        <f>SUMIFS([1]Sheet1!D:D,[1]Sheet1!A:A,A111,[1]Sheet1!E:E,"Mallas")</f>
        <v>0</v>
      </c>
      <c r="F111" s="2">
        <f>SUMIFS([1]Sheet1!D:D,[1]Sheet1!A:A,A111,[1]Sheet1!E:E,"Materia Prima")</f>
        <v>0</v>
      </c>
      <c r="G111" s="2">
        <f t="shared" si="4"/>
        <v>5.8487692307692303</v>
      </c>
      <c r="H111">
        <f t="shared" si="5"/>
        <v>1</v>
      </c>
      <c r="I111" s="2">
        <f t="shared" si="6"/>
        <v>5.8487692307692303</v>
      </c>
      <c r="J111" s="2">
        <f t="shared" si="7"/>
        <v>0</v>
      </c>
    </row>
    <row r="112" spans="1:10" x14ac:dyDescent="0.3">
      <c r="A112">
        <v>1000017103</v>
      </c>
      <c r="B112" s="1">
        <f>VLOOKUP(A112,[1]Sheet1!A:B,2,FALSE)</f>
        <v>40549</v>
      </c>
      <c r="C112" s="2">
        <v>0</v>
      </c>
      <c r="D112" s="2">
        <f>SUMIFS([1]Sheet1!D:D,[1]Sheet1!A:A,A112,[1]Sheet1!E:E,"Figurado")</f>
        <v>1857.9</v>
      </c>
      <c r="E112" s="2">
        <f>SUMIFS([1]Sheet1!D:D,[1]Sheet1!A:A,A112,[1]Sheet1!E:E,"Mallas")</f>
        <v>0</v>
      </c>
      <c r="F112" s="2">
        <f>SUMIFS([1]Sheet1!D:D,[1]Sheet1!A:A,A112,[1]Sheet1!E:E,"Materia Prima")</f>
        <v>0</v>
      </c>
      <c r="G112" s="2">
        <f t="shared" si="4"/>
        <v>0.71457692307692311</v>
      </c>
      <c r="H112">
        <f t="shared" si="5"/>
        <v>1</v>
      </c>
      <c r="I112" s="2">
        <f t="shared" si="6"/>
        <v>0.71457692307692311</v>
      </c>
      <c r="J112" s="2">
        <f t="shared" si="7"/>
        <v>0</v>
      </c>
    </row>
    <row r="113" spans="1:10" x14ac:dyDescent="0.3">
      <c r="A113">
        <v>1000017104</v>
      </c>
      <c r="B113" s="1">
        <f>VLOOKUP(A113,[1]Sheet1!A:B,2,FALSE)</f>
        <v>40549</v>
      </c>
      <c r="C113" s="2">
        <v>0</v>
      </c>
      <c r="D113" s="2">
        <f>SUMIFS([1]Sheet1!D:D,[1]Sheet1!A:A,A113,[1]Sheet1!E:E,"Figurado")</f>
        <v>2867.8</v>
      </c>
      <c r="E113" s="2">
        <f>SUMIFS([1]Sheet1!D:D,[1]Sheet1!A:A,A113,[1]Sheet1!E:E,"Mallas")</f>
        <v>0</v>
      </c>
      <c r="F113" s="2">
        <f>SUMIFS([1]Sheet1!D:D,[1]Sheet1!A:A,A113,[1]Sheet1!E:E,"Materia Prima")</f>
        <v>0</v>
      </c>
      <c r="G113" s="2">
        <f t="shared" si="4"/>
        <v>1.103</v>
      </c>
      <c r="H113">
        <f t="shared" si="5"/>
        <v>1</v>
      </c>
      <c r="I113" s="2">
        <f t="shared" si="6"/>
        <v>1.103</v>
      </c>
      <c r="J113" s="2">
        <f t="shared" si="7"/>
        <v>0</v>
      </c>
    </row>
    <row r="114" spans="1:10" x14ac:dyDescent="0.3">
      <c r="A114">
        <v>1000017105</v>
      </c>
      <c r="B114" s="1">
        <f>VLOOKUP(A114,[1]Sheet1!A:B,2,FALSE)</f>
        <v>40549</v>
      </c>
      <c r="C114" s="2">
        <v>0</v>
      </c>
      <c r="D114" s="2">
        <f>SUMIFS([1]Sheet1!D:D,[1]Sheet1!A:A,A114,[1]Sheet1!E:E,"Figurado")</f>
        <v>572.4</v>
      </c>
      <c r="E114" s="2">
        <f>SUMIFS([1]Sheet1!D:D,[1]Sheet1!A:A,A114,[1]Sheet1!E:E,"Mallas")</f>
        <v>0</v>
      </c>
      <c r="F114" s="2">
        <f>SUMIFS([1]Sheet1!D:D,[1]Sheet1!A:A,A114,[1]Sheet1!E:E,"Materia Prima")</f>
        <v>250</v>
      </c>
      <c r="G114" s="2">
        <f t="shared" si="4"/>
        <v>0.22015384615384614</v>
      </c>
      <c r="H114">
        <f t="shared" si="5"/>
        <v>2</v>
      </c>
      <c r="I114" s="2">
        <f t="shared" si="6"/>
        <v>0.22015384615384614</v>
      </c>
      <c r="J114" s="2">
        <f t="shared" si="7"/>
        <v>0</v>
      </c>
    </row>
    <row r="115" spans="1:10" x14ac:dyDescent="0.3">
      <c r="A115">
        <v>1000017106</v>
      </c>
      <c r="B115" s="1">
        <f>VLOOKUP(A115,[1]Sheet1!A:B,2,FALSE)</f>
        <v>40549</v>
      </c>
      <c r="C115" s="2">
        <v>0</v>
      </c>
      <c r="D115" s="2">
        <f>SUMIFS([1]Sheet1!D:D,[1]Sheet1!A:A,A115,[1]Sheet1!E:E,"Figurado")</f>
        <v>1021.5</v>
      </c>
      <c r="E115" s="2">
        <f>SUMIFS([1]Sheet1!D:D,[1]Sheet1!A:A,A115,[1]Sheet1!E:E,"Mallas")</f>
        <v>0</v>
      </c>
      <c r="F115" s="2">
        <f>SUMIFS([1]Sheet1!D:D,[1]Sheet1!A:A,A115,[1]Sheet1!E:E,"Materia Prima")</f>
        <v>0</v>
      </c>
      <c r="G115" s="2">
        <f t="shared" si="4"/>
        <v>0.39288461538461539</v>
      </c>
      <c r="H115">
        <f t="shared" si="5"/>
        <v>1</v>
      </c>
      <c r="I115" s="2">
        <f t="shared" si="6"/>
        <v>0.39288461538461539</v>
      </c>
      <c r="J115" s="2">
        <f t="shared" si="7"/>
        <v>0</v>
      </c>
    </row>
    <row r="116" spans="1:10" x14ac:dyDescent="0.3">
      <c r="A116">
        <v>1000017109</v>
      </c>
      <c r="B116" s="1">
        <f>VLOOKUP(A116,[1]Sheet1!A:B,2,FALSE)</f>
        <v>40549</v>
      </c>
      <c r="C116" s="2">
        <v>0</v>
      </c>
      <c r="D116" s="2">
        <f>SUMIFS([1]Sheet1!D:D,[1]Sheet1!A:A,A116,[1]Sheet1!E:E,"Figurado")</f>
        <v>1516.5</v>
      </c>
      <c r="E116" s="2">
        <f>SUMIFS([1]Sheet1!D:D,[1]Sheet1!A:A,A116,[1]Sheet1!E:E,"Mallas")</f>
        <v>0</v>
      </c>
      <c r="F116" s="2">
        <f>SUMIFS([1]Sheet1!D:D,[1]Sheet1!A:A,A116,[1]Sheet1!E:E,"Materia Prima")</f>
        <v>772.8</v>
      </c>
      <c r="G116" s="2">
        <f t="shared" si="4"/>
        <v>0.58326923076923076</v>
      </c>
      <c r="H116">
        <f t="shared" si="5"/>
        <v>2</v>
      </c>
      <c r="I116" s="2">
        <f t="shared" si="6"/>
        <v>0.58326923076923076</v>
      </c>
      <c r="J116" s="2">
        <f t="shared" si="7"/>
        <v>0</v>
      </c>
    </row>
    <row r="117" spans="1:10" x14ac:dyDescent="0.3">
      <c r="A117">
        <v>1000017110</v>
      </c>
      <c r="B117" s="1">
        <f>VLOOKUP(A117,[1]Sheet1!A:B,2,FALSE)</f>
        <v>40549</v>
      </c>
      <c r="C117" s="2">
        <v>0</v>
      </c>
      <c r="D117" s="2">
        <f>SUMIFS([1]Sheet1!D:D,[1]Sheet1!A:A,A117,[1]Sheet1!E:E,"Figurado")</f>
        <v>1384.5</v>
      </c>
      <c r="E117" s="2">
        <f>SUMIFS([1]Sheet1!D:D,[1]Sheet1!A:A,A117,[1]Sheet1!E:E,"Mallas")</f>
        <v>0</v>
      </c>
      <c r="F117" s="2">
        <f>SUMIFS([1]Sheet1!D:D,[1]Sheet1!A:A,A117,[1]Sheet1!E:E,"Materia Prima")</f>
        <v>215</v>
      </c>
      <c r="G117" s="2">
        <f t="shared" si="4"/>
        <v>0.53249999999999997</v>
      </c>
      <c r="H117">
        <f t="shared" si="5"/>
        <v>2</v>
      </c>
      <c r="I117" s="2">
        <f t="shared" si="6"/>
        <v>0.53249999999999997</v>
      </c>
      <c r="J117" s="2">
        <f t="shared" si="7"/>
        <v>0</v>
      </c>
    </row>
    <row r="118" spans="1:10" x14ac:dyDescent="0.3">
      <c r="A118">
        <v>1000017111</v>
      </c>
      <c r="B118" s="1">
        <f>VLOOKUP(A118,[1]Sheet1!A:B,2,FALSE)</f>
        <v>40549</v>
      </c>
      <c r="C118" s="2">
        <v>0</v>
      </c>
      <c r="D118" s="2">
        <f>SUMIFS([1]Sheet1!D:D,[1]Sheet1!A:A,A118,[1]Sheet1!E:E,"Figurado")</f>
        <v>3855.9000000000005</v>
      </c>
      <c r="E118" s="2">
        <f>SUMIFS([1]Sheet1!D:D,[1]Sheet1!A:A,A118,[1]Sheet1!E:E,"Mallas")</f>
        <v>0</v>
      </c>
      <c r="F118" s="2">
        <f>SUMIFS([1]Sheet1!D:D,[1]Sheet1!A:A,A118,[1]Sheet1!E:E,"Materia Prima")</f>
        <v>260.2</v>
      </c>
      <c r="G118" s="2">
        <f t="shared" si="4"/>
        <v>1.4830384615384617</v>
      </c>
      <c r="H118">
        <f t="shared" si="5"/>
        <v>2</v>
      </c>
      <c r="I118" s="2">
        <f t="shared" si="6"/>
        <v>1.4830384615384617</v>
      </c>
      <c r="J118" s="2">
        <f t="shared" si="7"/>
        <v>0</v>
      </c>
    </row>
    <row r="119" spans="1:10" x14ac:dyDescent="0.3">
      <c r="A119">
        <v>1000017112</v>
      </c>
      <c r="B119" s="1">
        <f>VLOOKUP(A119,[1]Sheet1!A:B,2,FALSE)</f>
        <v>40549</v>
      </c>
      <c r="C119" s="2">
        <v>0</v>
      </c>
      <c r="D119" s="2">
        <f>SUMIFS([1]Sheet1!D:D,[1]Sheet1!A:A,A119,[1]Sheet1!E:E,"Figurado")</f>
        <v>9219.7999999999993</v>
      </c>
      <c r="E119" s="2">
        <f>SUMIFS([1]Sheet1!D:D,[1]Sheet1!A:A,A119,[1]Sheet1!E:E,"Mallas")</f>
        <v>0</v>
      </c>
      <c r="F119" s="2">
        <f>SUMIFS([1]Sheet1!D:D,[1]Sheet1!A:A,A119,[1]Sheet1!E:E,"Materia Prima")</f>
        <v>53.8</v>
      </c>
      <c r="G119" s="2">
        <f t="shared" si="4"/>
        <v>3.5460769230769227</v>
      </c>
      <c r="H119">
        <f t="shared" si="5"/>
        <v>2</v>
      </c>
      <c r="I119" s="2">
        <f t="shared" si="6"/>
        <v>3.5460769230769227</v>
      </c>
      <c r="J119" s="2">
        <f t="shared" si="7"/>
        <v>0</v>
      </c>
    </row>
    <row r="120" spans="1:10" x14ac:dyDescent="0.3">
      <c r="A120">
        <v>1000017113</v>
      </c>
      <c r="B120" s="1">
        <f>VLOOKUP(A120,[1]Sheet1!A:B,2,FALSE)</f>
        <v>40549</v>
      </c>
      <c r="C120" s="2">
        <v>0</v>
      </c>
      <c r="D120" s="2">
        <f>SUMIFS([1]Sheet1!D:D,[1]Sheet1!A:A,A120,[1]Sheet1!E:E,"Figurado")</f>
        <v>0</v>
      </c>
      <c r="E120" s="2">
        <f>SUMIFS([1]Sheet1!D:D,[1]Sheet1!A:A,A120,[1]Sheet1!E:E,"Mallas")</f>
        <v>0</v>
      </c>
      <c r="F120" s="2">
        <f>SUMIFS([1]Sheet1!D:D,[1]Sheet1!A:A,A120,[1]Sheet1!E:E,"Materia Prima")</f>
        <v>33645</v>
      </c>
      <c r="G120" s="2">
        <f t="shared" si="4"/>
        <v>0</v>
      </c>
      <c r="H120">
        <f t="shared" si="5"/>
        <v>1</v>
      </c>
      <c r="I120" s="2">
        <f t="shared" si="6"/>
        <v>0</v>
      </c>
      <c r="J120" s="2">
        <f t="shared" si="7"/>
        <v>0</v>
      </c>
    </row>
    <row r="121" spans="1:10" x14ac:dyDescent="0.3">
      <c r="A121">
        <v>1000017114</v>
      </c>
      <c r="B121" s="1">
        <f>VLOOKUP(A121,[1]Sheet1!A:B,2,FALSE)</f>
        <v>40550</v>
      </c>
      <c r="C121" s="2">
        <v>0</v>
      </c>
      <c r="D121" s="2">
        <f>SUMIFS([1]Sheet1!D:D,[1]Sheet1!A:A,A121,[1]Sheet1!E:E,"Figurado")</f>
        <v>7648.6</v>
      </c>
      <c r="E121" s="2">
        <f>SUMIFS([1]Sheet1!D:D,[1]Sheet1!A:A,A121,[1]Sheet1!E:E,"Mallas")</f>
        <v>0</v>
      </c>
      <c r="F121" s="2">
        <f>SUMIFS([1]Sheet1!D:D,[1]Sheet1!A:A,A121,[1]Sheet1!E:E,"Materia Prima")</f>
        <v>0</v>
      </c>
      <c r="G121" s="2">
        <f t="shared" si="4"/>
        <v>2.9417692307692307</v>
      </c>
      <c r="H121">
        <f t="shared" si="5"/>
        <v>1</v>
      </c>
      <c r="I121" s="2">
        <f t="shared" si="6"/>
        <v>2.9417692307692307</v>
      </c>
      <c r="J121" s="2">
        <f t="shared" si="7"/>
        <v>0</v>
      </c>
    </row>
    <row r="122" spans="1:10" x14ac:dyDescent="0.3">
      <c r="A122">
        <v>1000017086</v>
      </c>
      <c r="B122" s="1">
        <f>VLOOKUP(A122,[1]Sheet1!A:B,2,FALSE)</f>
        <v>40549</v>
      </c>
      <c r="C122" s="2">
        <v>0</v>
      </c>
      <c r="D122" s="2">
        <f>SUMIFS([1]Sheet1!D:D,[1]Sheet1!A:A,A122,[1]Sheet1!E:E,"Figurado")</f>
        <v>0</v>
      </c>
      <c r="E122" s="2">
        <f>SUMIFS([1]Sheet1!D:D,[1]Sheet1!A:A,A122,[1]Sheet1!E:E,"Mallas")</f>
        <v>2530.8000000000002</v>
      </c>
      <c r="F122" s="2">
        <f>SUMIFS([1]Sheet1!D:D,[1]Sheet1!A:A,A122,[1]Sheet1!E:E,"Materia Prima")</f>
        <v>0</v>
      </c>
      <c r="G122" s="2">
        <f t="shared" si="4"/>
        <v>3.1635000000000004</v>
      </c>
      <c r="H122">
        <f t="shared" si="5"/>
        <v>1</v>
      </c>
      <c r="I122" s="2">
        <f t="shared" si="6"/>
        <v>0</v>
      </c>
      <c r="J122" s="2">
        <f t="shared" si="7"/>
        <v>3.1635000000000004</v>
      </c>
    </row>
    <row r="123" spans="1:10" x14ac:dyDescent="0.3">
      <c r="A123">
        <v>1000017087</v>
      </c>
      <c r="B123" s="1">
        <f>VLOOKUP(A123,[1]Sheet1!A:B,2,FALSE)</f>
        <v>40549</v>
      </c>
      <c r="C123" s="2">
        <v>0</v>
      </c>
      <c r="D123" s="2">
        <f>SUMIFS([1]Sheet1!D:D,[1]Sheet1!A:A,A123,[1]Sheet1!E:E,"Figurado")</f>
        <v>0</v>
      </c>
      <c r="E123" s="2">
        <f>SUMIFS([1]Sheet1!D:D,[1]Sheet1!A:A,A123,[1]Sheet1!E:E,"Mallas")</f>
        <v>0</v>
      </c>
      <c r="F123" s="2">
        <f>SUMIFS([1]Sheet1!D:D,[1]Sheet1!A:A,A123,[1]Sheet1!E:E,"Materia Prima")</f>
        <v>500</v>
      </c>
      <c r="G123" s="2">
        <f t="shared" si="4"/>
        <v>0</v>
      </c>
      <c r="H123">
        <f t="shared" si="5"/>
        <v>1</v>
      </c>
      <c r="I123" s="2">
        <f t="shared" si="6"/>
        <v>0</v>
      </c>
      <c r="J123" s="2">
        <f t="shared" si="7"/>
        <v>0</v>
      </c>
    </row>
    <row r="124" spans="1:10" x14ac:dyDescent="0.3">
      <c r="A124">
        <v>1000017088</v>
      </c>
      <c r="B124" s="1">
        <f>VLOOKUP(A124,[1]Sheet1!A:B,2,FALSE)</f>
        <v>40549</v>
      </c>
      <c r="C124" s="2">
        <v>0</v>
      </c>
      <c r="D124" s="2">
        <f>SUMIFS([1]Sheet1!D:D,[1]Sheet1!A:A,A124,[1]Sheet1!E:E,"Figurado")</f>
        <v>0</v>
      </c>
      <c r="E124" s="2">
        <f>SUMIFS([1]Sheet1!D:D,[1]Sheet1!A:A,A124,[1]Sheet1!E:E,"Mallas")</f>
        <v>2865.2</v>
      </c>
      <c r="F124" s="2">
        <f>SUMIFS([1]Sheet1!D:D,[1]Sheet1!A:A,A124,[1]Sheet1!E:E,"Materia Prima")</f>
        <v>0</v>
      </c>
      <c r="G124" s="2">
        <f t="shared" si="4"/>
        <v>3.5814999999999997</v>
      </c>
      <c r="H124">
        <f t="shared" si="5"/>
        <v>1</v>
      </c>
      <c r="I124" s="2">
        <f t="shared" si="6"/>
        <v>0</v>
      </c>
      <c r="J124" s="2">
        <f t="shared" si="7"/>
        <v>3.5814999999999997</v>
      </c>
    </row>
    <row r="125" spans="1:10" x14ac:dyDescent="0.3">
      <c r="A125">
        <v>1000017107</v>
      </c>
      <c r="B125" s="1">
        <f>VLOOKUP(A125,[1]Sheet1!A:B,2,FALSE)</f>
        <v>40549</v>
      </c>
      <c r="C125" s="2">
        <v>0</v>
      </c>
      <c r="D125" s="2">
        <f>SUMIFS([1]Sheet1!D:D,[1]Sheet1!A:A,A125,[1]Sheet1!E:E,"Figurado")</f>
        <v>0</v>
      </c>
      <c r="E125" s="2">
        <f>SUMIFS([1]Sheet1!D:D,[1]Sheet1!A:A,A125,[1]Sheet1!E:E,"Mallas")</f>
        <v>9622.74</v>
      </c>
      <c r="F125" s="2">
        <f>SUMIFS([1]Sheet1!D:D,[1]Sheet1!A:A,A125,[1]Sheet1!E:E,"Materia Prima")</f>
        <v>0</v>
      </c>
      <c r="G125" s="2">
        <f t="shared" si="4"/>
        <v>12.028425</v>
      </c>
      <c r="H125">
        <f t="shared" si="5"/>
        <v>1</v>
      </c>
      <c r="I125" s="2">
        <f t="shared" si="6"/>
        <v>0</v>
      </c>
      <c r="J125" s="2">
        <f t="shared" si="7"/>
        <v>12.028425</v>
      </c>
    </row>
    <row r="126" spans="1:10" x14ac:dyDescent="0.3">
      <c r="A126">
        <v>1000017108</v>
      </c>
      <c r="B126" s="1">
        <f>VLOOKUP(A126,[1]Sheet1!A:B,2,FALSE)</f>
        <v>40549</v>
      </c>
      <c r="C126" s="2">
        <v>0</v>
      </c>
      <c r="D126" s="2">
        <f>SUMIFS([1]Sheet1!D:D,[1]Sheet1!A:A,A126,[1]Sheet1!E:E,"Figurado")</f>
        <v>0</v>
      </c>
      <c r="E126" s="2">
        <f>SUMIFS([1]Sheet1!D:D,[1]Sheet1!A:A,A126,[1]Sheet1!E:E,"Mallas")</f>
        <v>3087.5</v>
      </c>
      <c r="F126" s="2">
        <f>SUMIFS([1]Sheet1!D:D,[1]Sheet1!A:A,A126,[1]Sheet1!E:E,"Materia Prima")</f>
        <v>0</v>
      </c>
      <c r="G126" s="2">
        <f t="shared" si="4"/>
        <v>3.859375</v>
      </c>
      <c r="H126">
        <f t="shared" si="5"/>
        <v>1</v>
      </c>
      <c r="I126" s="2">
        <f t="shared" si="6"/>
        <v>0</v>
      </c>
      <c r="J126" s="2">
        <f t="shared" si="7"/>
        <v>3.859375</v>
      </c>
    </row>
    <row r="127" spans="1:10" x14ac:dyDescent="0.3">
      <c r="A127">
        <v>1000017115</v>
      </c>
      <c r="B127" s="1">
        <f>VLOOKUP(A127,[1]Sheet1!A:B,2,FALSE)</f>
        <v>40550</v>
      </c>
      <c r="C127" s="2">
        <v>0</v>
      </c>
      <c r="D127" s="2">
        <f>SUMIFS([1]Sheet1!D:D,[1]Sheet1!A:A,A127,[1]Sheet1!E:E,"Figurado")</f>
        <v>6110</v>
      </c>
      <c r="E127" s="2">
        <f>SUMIFS([1]Sheet1!D:D,[1]Sheet1!A:A,A127,[1]Sheet1!E:E,"Mallas")</f>
        <v>0</v>
      </c>
      <c r="F127" s="2">
        <f>SUMIFS([1]Sheet1!D:D,[1]Sheet1!A:A,A127,[1]Sheet1!E:E,"Materia Prima")</f>
        <v>0</v>
      </c>
      <c r="G127" s="2">
        <f t="shared" si="4"/>
        <v>2.35</v>
      </c>
      <c r="H127">
        <f t="shared" si="5"/>
        <v>1</v>
      </c>
      <c r="I127" s="2">
        <f t="shared" si="6"/>
        <v>2.35</v>
      </c>
      <c r="J127" s="2">
        <f t="shared" si="7"/>
        <v>0</v>
      </c>
    </row>
    <row r="128" spans="1:10" x14ac:dyDescent="0.3">
      <c r="A128">
        <v>1000017116</v>
      </c>
      <c r="B128" s="1">
        <f>VLOOKUP(A128,[1]Sheet1!A:B,2,FALSE)</f>
        <v>40550</v>
      </c>
      <c r="C128" s="2">
        <v>0</v>
      </c>
      <c r="D128" s="2">
        <f>SUMIFS([1]Sheet1!D:D,[1]Sheet1!A:A,A128,[1]Sheet1!E:E,"Figurado")</f>
        <v>0</v>
      </c>
      <c r="E128" s="2">
        <f>SUMIFS([1]Sheet1!D:D,[1]Sheet1!A:A,A128,[1]Sheet1!E:E,"Mallas")</f>
        <v>1572</v>
      </c>
      <c r="F128" s="2">
        <f>SUMIFS([1]Sheet1!D:D,[1]Sheet1!A:A,A128,[1]Sheet1!E:E,"Materia Prima")</f>
        <v>0</v>
      </c>
      <c r="G128" s="2">
        <f t="shared" si="4"/>
        <v>1.9650000000000001</v>
      </c>
      <c r="H128">
        <f t="shared" si="5"/>
        <v>1</v>
      </c>
      <c r="I128" s="2">
        <f t="shared" si="6"/>
        <v>0</v>
      </c>
      <c r="J128" s="2">
        <f t="shared" si="7"/>
        <v>1.9650000000000001</v>
      </c>
    </row>
    <row r="129" spans="1:10" x14ac:dyDescent="0.3">
      <c r="A129">
        <v>1000017117</v>
      </c>
      <c r="B129" s="1">
        <f>VLOOKUP(A129,[1]Sheet1!A:B,2,FALSE)</f>
        <v>40550</v>
      </c>
      <c r="C129" s="2">
        <v>0</v>
      </c>
      <c r="D129" s="2">
        <f>SUMIFS([1]Sheet1!D:D,[1]Sheet1!A:A,A129,[1]Sheet1!E:E,"Figurado")</f>
        <v>0</v>
      </c>
      <c r="E129" s="2">
        <f>SUMIFS([1]Sheet1!D:D,[1]Sheet1!A:A,A129,[1]Sheet1!E:E,"Mallas")</f>
        <v>1270</v>
      </c>
      <c r="F129" s="2">
        <f>SUMIFS([1]Sheet1!D:D,[1]Sheet1!A:A,A129,[1]Sheet1!E:E,"Materia Prima")</f>
        <v>0</v>
      </c>
      <c r="G129" s="2">
        <f t="shared" si="4"/>
        <v>1.5874999999999999</v>
      </c>
      <c r="H129">
        <f t="shared" si="5"/>
        <v>1</v>
      </c>
      <c r="I129" s="2">
        <f t="shared" si="6"/>
        <v>0</v>
      </c>
      <c r="J129" s="2">
        <f t="shared" si="7"/>
        <v>1.5874999999999999</v>
      </c>
    </row>
    <row r="130" spans="1:10" x14ac:dyDescent="0.3">
      <c r="A130">
        <v>1000017118</v>
      </c>
      <c r="B130" s="1">
        <f>VLOOKUP(A130,[1]Sheet1!A:B,2,FALSE)</f>
        <v>40550</v>
      </c>
      <c r="C130" s="2">
        <v>0</v>
      </c>
      <c r="D130" s="2">
        <f>SUMIFS([1]Sheet1!D:D,[1]Sheet1!A:A,A130,[1]Sheet1!E:E,"Figurado")</f>
        <v>0</v>
      </c>
      <c r="E130" s="2">
        <f>SUMIFS([1]Sheet1!D:D,[1]Sheet1!A:A,A130,[1]Sheet1!E:E,"Mallas")</f>
        <v>1270</v>
      </c>
      <c r="F130" s="2">
        <f>SUMIFS([1]Sheet1!D:D,[1]Sheet1!A:A,A130,[1]Sheet1!E:E,"Materia Prima")</f>
        <v>0</v>
      </c>
      <c r="G130" s="2">
        <f t="shared" si="4"/>
        <v>1.5874999999999999</v>
      </c>
      <c r="H130">
        <f t="shared" si="5"/>
        <v>1</v>
      </c>
      <c r="I130" s="2">
        <f t="shared" si="6"/>
        <v>0</v>
      </c>
      <c r="J130" s="2">
        <f t="shared" si="7"/>
        <v>1.5874999999999999</v>
      </c>
    </row>
    <row r="131" spans="1:10" x14ac:dyDescent="0.3">
      <c r="A131">
        <v>1000017119</v>
      </c>
      <c r="B131" s="1">
        <f>VLOOKUP(A131,[1]Sheet1!A:B,2,FALSE)</f>
        <v>40550</v>
      </c>
      <c r="C131" s="2">
        <v>0</v>
      </c>
      <c r="D131" s="2">
        <f>SUMIFS([1]Sheet1!D:D,[1]Sheet1!A:A,A131,[1]Sheet1!E:E,"Figurado")</f>
        <v>0</v>
      </c>
      <c r="E131" s="2">
        <f>SUMIFS([1]Sheet1!D:D,[1]Sheet1!A:A,A131,[1]Sheet1!E:E,"Mallas")</f>
        <v>338.64</v>
      </c>
      <c r="F131" s="2">
        <f>SUMIFS([1]Sheet1!D:D,[1]Sheet1!A:A,A131,[1]Sheet1!E:E,"Materia Prima")</f>
        <v>0</v>
      </c>
      <c r="G131" s="2">
        <f t="shared" ref="G131:G194" si="8">(D131/2600)+(E131/800)</f>
        <v>0.42330000000000001</v>
      </c>
      <c r="H131">
        <f t="shared" ref="H131:H194" si="9">(IF(D131&gt;0,1,0) + IF(E131&gt;0,1,0) + IF(F131&gt;0,1,0))</f>
        <v>1</v>
      </c>
      <c r="I131" s="2">
        <f t="shared" ref="I131:I194" si="10">D131/2600</f>
        <v>0</v>
      </c>
      <c r="J131" s="2">
        <f t="shared" ref="J131:J194" si="11">E131/800</f>
        <v>0.42330000000000001</v>
      </c>
    </row>
    <row r="132" spans="1:10" x14ac:dyDescent="0.3">
      <c r="A132">
        <v>1000017120</v>
      </c>
      <c r="B132" s="1">
        <f>VLOOKUP(A132,[1]Sheet1!A:B,2,FALSE)</f>
        <v>40550</v>
      </c>
      <c r="C132" s="2">
        <v>0</v>
      </c>
      <c r="D132" s="2">
        <f>SUMIFS([1]Sheet1!D:D,[1]Sheet1!A:A,A132,[1]Sheet1!E:E,"Figurado")</f>
        <v>2443.8000000000002</v>
      </c>
      <c r="E132" s="2">
        <f>SUMIFS([1]Sheet1!D:D,[1]Sheet1!A:A,A132,[1]Sheet1!E:E,"Mallas")</f>
        <v>0</v>
      </c>
      <c r="F132" s="2">
        <f>SUMIFS([1]Sheet1!D:D,[1]Sheet1!A:A,A132,[1]Sheet1!E:E,"Materia Prima")</f>
        <v>0</v>
      </c>
      <c r="G132" s="2">
        <f t="shared" si="8"/>
        <v>0.93992307692307697</v>
      </c>
      <c r="H132">
        <f t="shared" si="9"/>
        <v>1</v>
      </c>
      <c r="I132" s="2">
        <f t="shared" si="10"/>
        <v>0.93992307692307697</v>
      </c>
      <c r="J132" s="2">
        <f t="shared" si="11"/>
        <v>0</v>
      </c>
    </row>
    <row r="133" spans="1:10" x14ac:dyDescent="0.3">
      <c r="A133">
        <v>1000017127</v>
      </c>
      <c r="B133" s="1">
        <f>VLOOKUP(A133,[1]Sheet1!A:B,2,FALSE)</f>
        <v>40550</v>
      </c>
      <c r="C133" s="2">
        <v>0</v>
      </c>
      <c r="D133" s="2">
        <f>SUMIFS([1]Sheet1!D:D,[1]Sheet1!A:A,A133,[1]Sheet1!E:E,"Figurado")</f>
        <v>9483.2000000000007</v>
      </c>
      <c r="E133" s="2">
        <f>SUMIFS([1]Sheet1!D:D,[1]Sheet1!A:A,A133,[1]Sheet1!E:E,"Mallas")</f>
        <v>0</v>
      </c>
      <c r="F133" s="2">
        <f>SUMIFS([1]Sheet1!D:D,[1]Sheet1!A:A,A133,[1]Sheet1!E:E,"Materia Prima")</f>
        <v>0</v>
      </c>
      <c r="G133" s="2">
        <f t="shared" si="8"/>
        <v>3.6473846153846154</v>
      </c>
      <c r="H133">
        <f t="shared" si="9"/>
        <v>1</v>
      </c>
      <c r="I133" s="2">
        <f t="shared" si="10"/>
        <v>3.6473846153846154</v>
      </c>
      <c r="J133" s="2">
        <f t="shared" si="11"/>
        <v>0</v>
      </c>
    </row>
    <row r="134" spans="1:10" x14ac:dyDescent="0.3">
      <c r="A134">
        <v>1000017128</v>
      </c>
      <c r="B134" s="1">
        <f>VLOOKUP(A134,[1]Sheet1!A:B,2,FALSE)</f>
        <v>40550</v>
      </c>
      <c r="C134" s="2">
        <v>0</v>
      </c>
      <c r="D134" s="2">
        <f>SUMIFS([1]Sheet1!D:D,[1]Sheet1!A:A,A134,[1]Sheet1!E:E,"Figurado")</f>
        <v>3711.4</v>
      </c>
      <c r="E134" s="2">
        <f>SUMIFS([1]Sheet1!D:D,[1]Sheet1!A:A,A134,[1]Sheet1!E:E,"Mallas")</f>
        <v>0</v>
      </c>
      <c r="F134" s="2">
        <f>SUMIFS([1]Sheet1!D:D,[1]Sheet1!A:A,A134,[1]Sheet1!E:E,"Materia Prima")</f>
        <v>0</v>
      </c>
      <c r="G134" s="2">
        <f t="shared" si="8"/>
        <v>1.4274615384615386</v>
      </c>
      <c r="H134">
        <f t="shared" si="9"/>
        <v>1</v>
      </c>
      <c r="I134" s="2">
        <f t="shared" si="10"/>
        <v>1.4274615384615386</v>
      </c>
      <c r="J134" s="2">
        <f t="shared" si="11"/>
        <v>0</v>
      </c>
    </row>
    <row r="135" spans="1:10" x14ac:dyDescent="0.3">
      <c r="A135">
        <v>1000017129</v>
      </c>
      <c r="B135" s="1">
        <f>VLOOKUP(A135,[1]Sheet1!A:B,2,FALSE)</f>
        <v>40550</v>
      </c>
      <c r="C135" s="2">
        <v>0</v>
      </c>
      <c r="D135" s="2">
        <f>SUMIFS([1]Sheet1!D:D,[1]Sheet1!A:A,A135,[1]Sheet1!E:E,"Figurado")</f>
        <v>2542.6</v>
      </c>
      <c r="E135" s="2">
        <f>SUMIFS([1]Sheet1!D:D,[1]Sheet1!A:A,A135,[1]Sheet1!E:E,"Mallas")</f>
        <v>0</v>
      </c>
      <c r="F135" s="2">
        <f>SUMIFS([1]Sheet1!D:D,[1]Sheet1!A:A,A135,[1]Sheet1!E:E,"Materia Prima")</f>
        <v>0</v>
      </c>
      <c r="G135" s="2">
        <f t="shared" si="8"/>
        <v>0.97792307692307689</v>
      </c>
      <c r="H135">
        <f t="shared" si="9"/>
        <v>1</v>
      </c>
      <c r="I135" s="2">
        <f t="shared" si="10"/>
        <v>0.97792307692307689</v>
      </c>
      <c r="J135" s="2">
        <f t="shared" si="11"/>
        <v>0</v>
      </c>
    </row>
    <row r="136" spans="1:10" x14ac:dyDescent="0.3">
      <c r="A136">
        <v>1000017130</v>
      </c>
      <c r="B136" s="1">
        <f>VLOOKUP(A136,[1]Sheet1!A:B,2,FALSE)</f>
        <v>40550</v>
      </c>
      <c r="C136" s="2">
        <v>0</v>
      </c>
      <c r="D136" s="2">
        <f>SUMIFS([1]Sheet1!D:D,[1]Sheet1!A:A,A136,[1]Sheet1!E:E,"Figurado")</f>
        <v>1201</v>
      </c>
      <c r="E136" s="2">
        <f>SUMIFS([1]Sheet1!D:D,[1]Sheet1!A:A,A136,[1]Sheet1!E:E,"Mallas")</f>
        <v>0</v>
      </c>
      <c r="F136" s="2">
        <f>SUMIFS([1]Sheet1!D:D,[1]Sheet1!A:A,A136,[1]Sheet1!E:E,"Materia Prima")</f>
        <v>0</v>
      </c>
      <c r="G136" s="2">
        <f t="shared" si="8"/>
        <v>0.46192307692307694</v>
      </c>
      <c r="H136">
        <f t="shared" si="9"/>
        <v>1</v>
      </c>
      <c r="I136" s="2">
        <f t="shared" si="10"/>
        <v>0.46192307692307694</v>
      </c>
      <c r="J136" s="2">
        <f t="shared" si="11"/>
        <v>0</v>
      </c>
    </row>
    <row r="137" spans="1:10" x14ac:dyDescent="0.3">
      <c r="A137">
        <v>1000017131</v>
      </c>
      <c r="B137" s="1">
        <f>VLOOKUP(A137,[1]Sheet1!A:B,2,FALSE)</f>
        <v>40550</v>
      </c>
      <c r="C137" s="2">
        <v>0</v>
      </c>
      <c r="D137" s="2">
        <f>SUMIFS([1]Sheet1!D:D,[1]Sheet1!A:A,A137,[1]Sheet1!E:E,"Figurado")</f>
        <v>0</v>
      </c>
      <c r="E137" s="2">
        <f>SUMIFS([1]Sheet1!D:D,[1]Sheet1!A:A,A137,[1]Sheet1!E:E,"Mallas")</f>
        <v>0</v>
      </c>
      <c r="F137" s="2">
        <f>SUMIFS([1]Sheet1!D:D,[1]Sheet1!A:A,A137,[1]Sheet1!E:E,"Materia Prima")</f>
        <v>6264</v>
      </c>
      <c r="G137" s="2">
        <f t="shared" si="8"/>
        <v>0</v>
      </c>
      <c r="H137">
        <f t="shared" si="9"/>
        <v>1</v>
      </c>
      <c r="I137" s="2">
        <f t="shared" si="10"/>
        <v>0</v>
      </c>
      <c r="J137" s="2">
        <f t="shared" si="11"/>
        <v>0</v>
      </c>
    </row>
    <row r="138" spans="1:10" x14ac:dyDescent="0.3">
      <c r="A138">
        <v>1000017132</v>
      </c>
      <c r="B138" s="1">
        <f>VLOOKUP(A138,[1]Sheet1!A:B,2,FALSE)</f>
        <v>40550</v>
      </c>
      <c r="C138" s="2">
        <v>0</v>
      </c>
      <c r="D138" s="2">
        <f>SUMIFS([1]Sheet1!D:D,[1]Sheet1!A:A,A138,[1]Sheet1!E:E,"Figurado")</f>
        <v>3649.4</v>
      </c>
      <c r="E138" s="2">
        <f>SUMIFS([1]Sheet1!D:D,[1]Sheet1!A:A,A138,[1]Sheet1!E:E,"Mallas")</f>
        <v>0</v>
      </c>
      <c r="F138" s="2">
        <f>SUMIFS([1]Sheet1!D:D,[1]Sheet1!A:A,A138,[1]Sheet1!E:E,"Materia Prima")</f>
        <v>0</v>
      </c>
      <c r="G138" s="2">
        <f t="shared" si="8"/>
        <v>1.4036153846153847</v>
      </c>
      <c r="H138">
        <f t="shared" si="9"/>
        <v>1</v>
      </c>
      <c r="I138" s="2">
        <f t="shared" si="10"/>
        <v>1.4036153846153847</v>
      </c>
      <c r="J138" s="2">
        <f t="shared" si="11"/>
        <v>0</v>
      </c>
    </row>
    <row r="139" spans="1:10" x14ac:dyDescent="0.3">
      <c r="A139">
        <v>1000017133</v>
      </c>
      <c r="B139" s="1">
        <f>VLOOKUP(A139,[1]Sheet1!A:B,2,FALSE)</f>
        <v>40550</v>
      </c>
      <c r="C139" s="2">
        <v>0</v>
      </c>
      <c r="D139" s="2">
        <f>SUMIFS([1]Sheet1!D:D,[1]Sheet1!A:A,A139,[1]Sheet1!E:E,"Figurado")</f>
        <v>0</v>
      </c>
      <c r="E139" s="2">
        <f>SUMIFS([1]Sheet1!D:D,[1]Sheet1!A:A,A139,[1]Sheet1!E:E,"Mallas")</f>
        <v>0</v>
      </c>
      <c r="F139" s="2">
        <f>SUMIFS([1]Sheet1!D:D,[1]Sheet1!A:A,A139,[1]Sheet1!E:E,"Materia Prima")</f>
        <v>8976</v>
      </c>
      <c r="G139" s="2">
        <f t="shared" si="8"/>
        <v>0</v>
      </c>
      <c r="H139">
        <f t="shared" si="9"/>
        <v>1</v>
      </c>
      <c r="I139" s="2">
        <f t="shared" si="10"/>
        <v>0</v>
      </c>
      <c r="J139" s="2">
        <f t="shared" si="11"/>
        <v>0</v>
      </c>
    </row>
    <row r="140" spans="1:10" x14ac:dyDescent="0.3">
      <c r="A140">
        <v>1000017134</v>
      </c>
      <c r="B140" s="1">
        <f>VLOOKUP(A140,[1]Sheet1!A:B,2,FALSE)</f>
        <v>40550</v>
      </c>
      <c r="C140" s="2">
        <v>0</v>
      </c>
      <c r="D140" s="2">
        <f>SUMIFS([1]Sheet1!D:D,[1]Sheet1!A:A,A140,[1]Sheet1!E:E,"Figurado")</f>
        <v>11128.8</v>
      </c>
      <c r="E140" s="2">
        <f>SUMIFS([1]Sheet1!D:D,[1]Sheet1!A:A,A140,[1]Sheet1!E:E,"Mallas")</f>
        <v>0</v>
      </c>
      <c r="F140" s="2">
        <f>SUMIFS([1]Sheet1!D:D,[1]Sheet1!A:A,A140,[1]Sheet1!E:E,"Materia Prima")</f>
        <v>0</v>
      </c>
      <c r="G140" s="2">
        <f t="shared" si="8"/>
        <v>4.2803076923076917</v>
      </c>
      <c r="H140">
        <f t="shared" si="9"/>
        <v>1</v>
      </c>
      <c r="I140" s="2">
        <f t="shared" si="10"/>
        <v>4.2803076923076917</v>
      </c>
      <c r="J140" s="2">
        <f t="shared" si="11"/>
        <v>0</v>
      </c>
    </row>
    <row r="141" spans="1:10" x14ac:dyDescent="0.3">
      <c r="A141">
        <v>1000017135</v>
      </c>
      <c r="B141" s="1">
        <f>VLOOKUP(A141,[1]Sheet1!A:B,2,FALSE)</f>
        <v>40550</v>
      </c>
      <c r="C141" s="2">
        <v>0</v>
      </c>
      <c r="D141" s="2">
        <f>SUMIFS([1]Sheet1!D:D,[1]Sheet1!A:A,A141,[1]Sheet1!E:E,"Figurado")</f>
        <v>11409.5</v>
      </c>
      <c r="E141" s="2">
        <f>SUMIFS([1]Sheet1!D:D,[1]Sheet1!A:A,A141,[1]Sheet1!E:E,"Mallas")</f>
        <v>0</v>
      </c>
      <c r="F141" s="2">
        <f>SUMIFS([1]Sheet1!D:D,[1]Sheet1!A:A,A141,[1]Sheet1!E:E,"Materia Prima")</f>
        <v>0</v>
      </c>
      <c r="G141" s="2">
        <f t="shared" si="8"/>
        <v>4.3882692307692306</v>
      </c>
      <c r="H141">
        <f t="shared" si="9"/>
        <v>1</v>
      </c>
      <c r="I141" s="2">
        <f t="shared" si="10"/>
        <v>4.3882692307692306</v>
      </c>
      <c r="J141" s="2">
        <f t="shared" si="11"/>
        <v>0</v>
      </c>
    </row>
    <row r="142" spans="1:10" x14ac:dyDescent="0.3">
      <c r="A142">
        <v>1000017136</v>
      </c>
      <c r="B142" s="1">
        <f>VLOOKUP(A142,[1]Sheet1!A:B,2,FALSE)</f>
        <v>40551</v>
      </c>
      <c r="C142" s="2">
        <v>0</v>
      </c>
      <c r="D142" s="2">
        <f>SUMIFS([1]Sheet1!D:D,[1]Sheet1!A:A,A142,[1]Sheet1!E:E,"Figurado")</f>
        <v>544</v>
      </c>
      <c r="E142" s="2">
        <f>SUMIFS([1]Sheet1!D:D,[1]Sheet1!A:A,A142,[1]Sheet1!E:E,"Mallas")</f>
        <v>0</v>
      </c>
      <c r="F142" s="2">
        <f>SUMIFS([1]Sheet1!D:D,[1]Sheet1!A:A,A142,[1]Sheet1!E:E,"Materia Prima")</f>
        <v>0</v>
      </c>
      <c r="G142" s="2">
        <f t="shared" si="8"/>
        <v>0.20923076923076922</v>
      </c>
      <c r="H142">
        <f t="shared" si="9"/>
        <v>1</v>
      </c>
      <c r="I142" s="2">
        <f t="shared" si="10"/>
        <v>0.20923076923076922</v>
      </c>
      <c r="J142" s="2">
        <f t="shared" si="11"/>
        <v>0</v>
      </c>
    </row>
    <row r="143" spans="1:10" x14ac:dyDescent="0.3">
      <c r="A143">
        <v>1000017139</v>
      </c>
      <c r="B143" s="1">
        <f>VLOOKUP(A143,[1]Sheet1!A:B,2,FALSE)</f>
        <v>40551</v>
      </c>
      <c r="C143" s="2">
        <v>0</v>
      </c>
      <c r="D143" s="2">
        <f>SUMIFS([1]Sheet1!D:D,[1]Sheet1!A:A,A143,[1]Sheet1!E:E,"Figurado")</f>
        <v>8881</v>
      </c>
      <c r="E143" s="2">
        <f>SUMIFS([1]Sheet1!D:D,[1]Sheet1!A:A,A143,[1]Sheet1!E:E,"Mallas")</f>
        <v>0</v>
      </c>
      <c r="F143" s="2">
        <f>SUMIFS([1]Sheet1!D:D,[1]Sheet1!A:A,A143,[1]Sheet1!E:E,"Materia Prima")</f>
        <v>0</v>
      </c>
      <c r="G143" s="2">
        <f t="shared" si="8"/>
        <v>3.4157692307692309</v>
      </c>
      <c r="H143">
        <f t="shared" si="9"/>
        <v>1</v>
      </c>
      <c r="I143" s="2">
        <f t="shared" si="10"/>
        <v>3.4157692307692309</v>
      </c>
      <c r="J143" s="2">
        <f t="shared" si="11"/>
        <v>0</v>
      </c>
    </row>
    <row r="144" spans="1:10" x14ac:dyDescent="0.3">
      <c r="A144">
        <v>1000016995</v>
      </c>
      <c r="B144" s="1">
        <f>VLOOKUP(A144,[1]Sheet1!A:B,2,FALSE)</f>
        <v>40546</v>
      </c>
      <c r="C144" s="2">
        <v>0</v>
      </c>
      <c r="D144" s="2">
        <f>SUMIFS([1]Sheet1!D:D,[1]Sheet1!A:A,A144,[1]Sheet1!E:E,"Figurado")</f>
        <v>0</v>
      </c>
      <c r="E144" s="2">
        <f>SUMIFS([1]Sheet1!D:D,[1]Sheet1!A:A,A144,[1]Sheet1!E:E,"Mallas")</f>
        <v>0</v>
      </c>
      <c r="F144" s="2">
        <f>SUMIFS([1]Sheet1!D:D,[1]Sheet1!A:A,A144,[1]Sheet1!E:E,"Materia Prima")</f>
        <v>35004</v>
      </c>
      <c r="G144" s="2">
        <f t="shared" si="8"/>
        <v>0</v>
      </c>
      <c r="H144">
        <f t="shared" si="9"/>
        <v>1</v>
      </c>
      <c r="I144" s="2">
        <f t="shared" si="10"/>
        <v>0</v>
      </c>
      <c r="J144" s="2">
        <f t="shared" si="11"/>
        <v>0</v>
      </c>
    </row>
    <row r="145" spans="1:10" x14ac:dyDescent="0.3">
      <c r="A145">
        <v>1000017063</v>
      </c>
      <c r="B145" s="1">
        <f>VLOOKUP(A145,[1]Sheet1!A:B,2,FALSE)</f>
        <v>40548</v>
      </c>
      <c r="C145" s="2">
        <v>0</v>
      </c>
      <c r="D145" s="2">
        <f>SUMIFS([1]Sheet1!D:D,[1]Sheet1!A:A,A145,[1]Sheet1!E:E,"Figurado")</f>
        <v>0</v>
      </c>
      <c r="E145" s="2">
        <f>SUMIFS([1]Sheet1!D:D,[1]Sheet1!A:A,A145,[1]Sheet1!E:E,"Mallas")</f>
        <v>8876.83</v>
      </c>
      <c r="F145" s="2">
        <f>SUMIFS([1]Sheet1!D:D,[1]Sheet1!A:A,A145,[1]Sheet1!E:E,"Materia Prima")</f>
        <v>0</v>
      </c>
      <c r="G145" s="2">
        <f t="shared" si="8"/>
        <v>11.0960375</v>
      </c>
      <c r="H145">
        <f t="shared" si="9"/>
        <v>1</v>
      </c>
      <c r="I145" s="2">
        <f t="shared" si="10"/>
        <v>0</v>
      </c>
      <c r="J145" s="2">
        <f t="shared" si="11"/>
        <v>11.0960375</v>
      </c>
    </row>
    <row r="146" spans="1:10" x14ac:dyDescent="0.3">
      <c r="A146">
        <v>1000017090</v>
      </c>
      <c r="B146" s="1">
        <f>VLOOKUP(A146,[1]Sheet1!A:B,2,FALSE)</f>
        <v>40549</v>
      </c>
      <c r="C146" s="2">
        <v>0</v>
      </c>
      <c r="D146" s="2">
        <f>SUMIFS([1]Sheet1!D:D,[1]Sheet1!A:A,A146,[1]Sheet1!E:E,"Figurado")</f>
        <v>2016.3</v>
      </c>
      <c r="E146" s="2">
        <f>SUMIFS([1]Sheet1!D:D,[1]Sheet1!A:A,A146,[1]Sheet1!E:E,"Mallas")</f>
        <v>0</v>
      </c>
      <c r="F146" s="2">
        <f>SUMIFS([1]Sheet1!D:D,[1]Sheet1!A:A,A146,[1]Sheet1!E:E,"Materia Prima")</f>
        <v>0</v>
      </c>
      <c r="G146" s="2">
        <f t="shared" si="8"/>
        <v>0.77549999999999997</v>
      </c>
      <c r="H146">
        <f t="shared" si="9"/>
        <v>1</v>
      </c>
      <c r="I146" s="2">
        <f t="shared" si="10"/>
        <v>0.77549999999999997</v>
      </c>
      <c r="J146" s="2">
        <f t="shared" si="11"/>
        <v>0</v>
      </c>
    </row>
    <row r="147" spans="1:10" x14ac:dyDescent="0.3">
      <c r="A147">
        <v>1000017137</v>
      </c>
      <c r="B147" s="1">
        <f>VLOOKUP(A147,[1]Sheet1!A:B,2,FALSE)</f>
        <v>40551</v>
      </c>
      <c r="C147" s="2">
        <v>0</v>
      </c>
      <c r="D147" s="2">
        <f>SUMIFS([1]Sheet1!D:D,[1]Sheet1!A:A,A147,[1]Sheet1!E:E,"Figurado")</f>
        <v>0</v>
      </c>
      <c r="E147" s="2">
        <f>SUMIFS([1]Sheet1!D:D,[1]Sheet1!A:A,A147,[1]Sheet1!E:E,"Mallas")</f>
        <v>9961</v>
      </c>
      <c r="F147" s="2">
        <f>SUMIFS([1]Sheet1!D:D,[1]Sheet1!A:A,A147,[1]Sheet1!E:E,"Materia Prima")</f>
        <v>0</v>
      </c>
      <c r="G147" s="2">
        <f t="shared" si="8"/>
        <v>12.45125</v>
      </c>
      <c r="H147">
        <f t="shared" si="9"/>
        <v>1</v>
      </c>
      <c r="I147" s="2">
        <f t="shared" si="10"/>
        <v>0</v>
      </c>
      <c r="J147" s="2">
        <f t="shared" si="11"/>
        <v>12.45125</v>
      </c>
    </row>
    <row r="148" spans="1:10" x14ac:dyDescent="0.3">
      <c r="A148">
        <v>1000017138</v>
      </c>
      <c r="B148" s="1">
        <f>VLOOKUP(A148,[1]Sheet1!A:B,2,FALSE)</f>
        <v>40551</v>
      </c>
      <c r="C148" s="2">
        <v>0</v>
      </c>
      <c r="D148" s="2">
        <f>SUMIFS([1]Sheet1!D:D,[1]Sheet1!A:A,A148,[1]Sheet1!E:E,"Figurado")</f>
        <v>0</v>
      </c>
      <c r="E148" s="2">
        <f>SUMIFS([1]Sheet1!D:D,[1]Sheet1!A:A,A148,[1]Sheet1!E:E,"Mallas")</f>
        <v>136</v>
      </c>
      <c r="F148" s="2">
        <f>SUMIFS([1]Sheet1!D:D,[1]Sheet1!A:A,A148,[1]Sheet1!E:E,"Materia Prima")</f>
        <v>0</v>
      </c>
      <c r="G148" s="2">
        <f t="shared" si="8"/>
        <v>0.17</v>
      </c>
      <c r="H148">
        <f t="shared" si="9"/>
        <v>1</v>
      </c>
      <c r="I148" s="2">
        <f t="shared" si="10"/>
        <v>0</v>
      </c>
      <c r="J148" s="2">
        <f t="shared" si="11"/>
        <v>0.17</v>
      </c>
    </row>
    <row r="149" spans="1:10" x14ac:dyDescent="0.3">
      <c r="A149">
        <v>1000017140</v>
      </c>
      <c r="B149" s="1">
        <f>VLOOKUP(A149,[1]Sheet1!A:B,2,FALSE)</f>
        <v>40554</v>
      </c>
      <c r="C149" s="2">
        <v>0</v>
      </c>
      <c r="D149" s="2">
        <f>SUMIFS([1]Sheet1!D:D,[1]Sheet1!A:A,A149,[1]Sheet1!E:E,"Figurado")</f>
        <v>10518</v>
      </c>
      <c r="E149" s="2">
        <f>SUMIFS([1]Sheet1!D:D,[1]Sheet1!A:A,A149,[1]Sheet1!E:E,"Mallas")</f>
        <v>0</v>
      </c>
      <c r="F149" s="2">
        <f>SUMIFS([1]Sheet1!D:D,[1]Sheet1!A:A,A149,[1]Sheet1!E:E,"Materia Prima")</f>
        <v>0</v>
      </c>
      <c r="G149" s="2">
        <f t="shared" si="8"/>
        <v>4.0453846153846156</v>
      </c>
      <c r="H149">
        <f t="shared" si="9"/>
        <v>1</v>
      </c>
      <c r="I149" s="2">
        <f t="shared" si="10"/>
        <v>4.0453846153846156</v>
      </c>
      <c r="J149" s="2">
        <f t="shared" si="11"/>
        <v>0</v>
      </c>
    </row>
    <row r="150" spans="1:10" x14ac:dyDescent="0.3">
      <c r="A150">
        <v>1000017141</v>
      </c>
      <c r="B150" s="1">
        <f>VLOOKUP(A150,[1]Sheet1!A:B,2,FALSE)</f>
        <v>40554</v>
      </c>
      <c r="C150" s="2">
        <v>0</v>
      </c>
      <c r="D150" s="2">
        <f>SUMIFS([1]Sheet1!D:D,[1]Sheet1!A:A,A150,[1]Sheet1!E:E,"Figurado")</f>
        <v>11560</v>
      </c>
      <c r="E150" s="2">
        <f>SUMIFS([1]Sheet1!D:D,[1]Sheet1!A:A,A150,[1]Sheet1!E:E,"Mallas")</f>
        <v>0</v>
      </c>
      <c r="F150" s="2">
        <f>SUMIFS([1]Sheet1!D:D,[1]Sheet1!A:A,A150,[1]Sheet1!E:E,"Materia Prima")</f>
        <v>0</v>
      </c>
      <c r="G150" s="2">
        <f t="shared" si="8"/>
        <v>4.4461538461538463</v>
      </c>
      <c r="H150">
        <f t="shared" si="9"/>
        <v>1</v>
      </c>
      <c r="I150" s="2">
        <f t="shared" si="10"/>
        <v>4.4461538461538463</v>
      </c>
      <c r="J150" s="2">
        <f t="shared" si="11"/>
        <v>0</v>
      </c>
    </row>
    <row r="151" spans="1:10" x14ac:dyDescent="0.3">
      <c r="A151">
        <v>1000017145</v>
      </c>
      <c r="B151" s="1">
        <f>VLOOKUP(A151,[1]Sheet1!A:B,2,FALSE)</f>
        <v>40554</v>
      </c>
      <c r="C151" s="2">
        <v>0</v>
      </c>
      <c r="D151" s="2">
        <f>SUMIFS([1]Sheet1!D:D,[1]Sheet1!A:A,A151,[1]Sheet1!E:E,"Figurado")</f>
        <v>9086.7000000000007</v>
      </c>
      <c r="E151" s="2">
        <f>SUMIFS([1]Sheet1!D:D,[1]Sheet1!A:A,A151,[1]Sheet1!E:E,"Mallas")</f>
        <v>0</v>
      </c>
      <c r="F151" s="2">
        <f>SUMIFS([1]Sheet1!D:D,[1]Sheet1!A:A,A151,[1]Sheet1!E:E,"Materia Prima")</f>
        <v>0</v>
      </c>
      <c r="G151" s="2">
        <f t="shared" si="8"/>
        <v>3.4948846153846156</v>
      </c>
      <c r="H151">
        <f t="shared" si="9"/>
        <v>1</v>
      </c>
      <c r="I151" s="2">
        <f t="shared" si="10"/>
        <v>3.4948846153846156</v>
      </c>
      <c r="J151" s="2">
        <f t="shared" si="11"/>
        <v>0</v>
      </c>
    </row>
    <row r="152" spans="1:10" x14ac:dyDescent="0.3">
      <c r="A152">
        <v>1000017146</v>
      </c>
      <c r="B152" s="1">
        <f>VLOOKUP(A152,[1]Sheet1!A:B,2,FALSE)</f>
        <v>40554</v>
      </c>
      <c r="C152" s="2">
        <v>0</v>
      </c>
      <c r="D152" s="2">
        <f>SUMIFS([1]Sheet1!D:D,[1]Sheet1!A:A,A152,[1]Sheet1!E:E,"Figurado")</f>
        <v>11214.3</v>
      </c>
      <c r="E152" s="2">
        <f>SUMIFS([1]Sheet1!D:D,[1]Sheet1!A:A,A152,[1]Sheet1!E:E,"Mallas")</f>
        <v>0</v>
      </c>
      <c r="F152" s="2">
        <f>SUMIFS([1]Sheet1!D:D,[1]Sheet1!A:A,A152,[1]Sheet1!E:E,"Materia Prima")</f>
        <v>0</v>
      </c>
      <c r="G152" s="2">
        <f t="shared" si="8"/>
        <v>4.3131923076923071</v>
      </c>
      <c r="H152">
        <f t="shared" si="9"/>
        <v>1</v>
      </c>
      <c r="I152" s="2">
        <f t="shared" si="10"/>
        <v>4.3131923076923071</v>
      </c>
      <c r="J152" s="2">
        <f t="shared" si="11"/>
        <v>0</v>
      </c>
    </row>
    <row r="153" spans="1:10" x14ac:dyDescent="0.3">
      <c r="A153">
        <v>1000017147</v>
      </c>
      <c r="B153" s="1">
        <f>VLOOKUP(A153,[1]Sheet1!A:B,2,FALSE)</f>
        <v>40554</v>
      </c>
      <c r="C153" s="2">
        <v>0</v>
      </c>
      <c r="D153" s="2">
        <f>SUMIFS([1]Sheet1!D:D,[1]Sheet1!A:A,A153,[1]Sheet1!E:E,"Figurado")</f>
        <v>6215.4000000000005</v>
      </c>
      <c r="E153" s="2">
        <f>SUMIFS([1]Sheet1!D:D,[1]Sheet1!A:A,A153,[1]Sheet1!E:E,"Mallas")</f>
        <v>0</v>
      </c>
      <c r="F153" s="2">
        <f>SUMIFS([1]Sheet1!D:D,[1]Sheet1!A:A,A153,[1]Sheet1!E:E,"Materia Prima")</f>
        <v>200</v>
      </c>
      <c r="G153" s="2">
        <f t="shared" si="8"/>
        <v>2.3905384615384619</v>
      </c>
      <c r="H153">
        <f t="shared" si="9"/>
        <v>2</v>
      </c>
      <c r="I153" s="2">
        <f t="shared" si="10"/>
        <v>2.3905384615384619</v>
      </c>
      <c r="J153" s="2">
        <f t="shared" si="11"/>
        <v>0</v>
      </c>
    </row>
    <row r="154" spans="1:10" x14ac:dyDescent="0.3">
      <c r="A154">
        <v>1000017148</v>
      </c>
      <c r="B154" s="1">
        <f>VLOOKUP(A154,[1]Sheet1!A:B,2,FALSE)</f>
        <v>40554</v>
      </c>
      <c r="C154" s="2">
        <v>0</v>
      </c>
      <c r="D154" s="2">
        <f>SUMIFS([1]Sheet1!D:D,[1]Sheet1!A:A,A154,[1]Sheet1!E:E,"Figurado")</f>
        <v>78.400000000000006</v>
      </c>
      <c r="E154" s="2">
        <f>SUMIFS([1]Sheet1!D:D,[1]Sheet1!A:A,A154,[1]Sheet1!E:E,"Mallas")</f>
        <v>0</v>
      </c>
      <c r="F154" s="2">
        <f>SUMIFS([1]Sheet1!D:D,[1]Sheet1!A:A,A154,[1]Sheet1!E:E,"Materia Prima")</f>
        <v>0</v>
      </c>
      <c r="G154" s="2">
        <f t="shared" si="8"/>
        <v>3.0153846153846156E-2</v>
      </c>
      <c r="H154">
        <f t="shared" si="9"/>
        <v>1</v>
      </c>
      <c r="I154" s="2">
        <f t="shared" si="10"/>
        <v>3.0153846153846156E-2</v>
      </c>
      <c r="J154" s="2">
        <f t="shared" si="11"/>
        <v>0</v>
      </c>
    </row>
    <row r="155" spans="1:10" x14ac:dyDescent="0.3">
      <c r="A155">
        <v>1000017149</v>
      </c>
      <c r="B155" s="1">
        <f>VLOOKUP(A155,[1]Sheet1!A:B,2,FALSE)</f>
        <v>40554</v>
      </c>
      <c r="C155" s="2">
        <v>0</v>
      </c>
      <c r="D155" s="2">
        <f>SUMIFS([1]Sheet1!D:D,[1]Sheet1!A:A,A155,[1]Sheet1!E:E,"Figurado")</f>
        <v>101.9</v>
      </c>
      <c r="E155" s="2">
        <f>SUMIFS([1]Sheet1!D:D,[1]Sheet1!A:A,A155,[1]Sheet1!E:E,"Mallas")</f>
        <v>0</v>
      </c>
      <c r="F155" s="2">
        <f>SUMIFS([1]Sheet1!D:D,[1]Sheet1!A:A,A155,[1]Sheet1!E:E,"Materia Prima")</f>
        <v>0</v>
      </c>
      <c r="G155" s="2">
        <f t="shared" si="8"/>
        <v>3.9192307692307693E-2</v>
      </c>
      <c r="H155">
        <f t="shared" si="9"/>
        <v>1</v>
      </c>
      <c r="I155" s="2">
        <f t="shared" si="10"/>
        <v>3.9192307692307693E-2</v>
      </c>
      <c r="J155" s="2">
        <f t="shared" si="11"/>
        <v>0</v>
      </c>
    </row>
    <row r="156" spans="1:10" x14ac:dyDescent="0.3">
      <c r="A156">
        <v>1000017150</v>
      </c>
      <c r="B156" s="1">
        <f>VLOOKUP(A156,[1]Sheet1!A:B,2,FALSE)</f>
        <v>40554</v>
      </c>
      <c r="C156" s="2">
        <v>0</v>
      </c>
      <c r="D156" s="2">
        <f>SUMIFS([1]Sheet1!D:D,[1]Sheet1!A:A,A156,[1]Sheet1!E:E,"Figurado")</f>
        <v>101.9</v>
      </c>
      <c r="E156" s="2">
        <f>SUMIFS([1]Sheet1!D:D,[1]Sheet1!A:A,A156,[1]Sheet1!E:E,"Mallas")</f>
        <v>0</v>
      </c>
      <c r="F156" s="2">
        <f>SUMIFS([1]Sheet1!D:D,[1]Sheet1!A:A,A156,[1]Sheet1!E:E,"Materia Prima")</f>
        <v>0</v>
      </c>
      <c r="G156" s="2">
        <f t="shared" si="8"/>
        <v>3.9192307692307693E-2</v>
      </c>
      <c r="H156">
        <f t="shared" si="9"/>
        <v>1</v>
      </c>
      <c r="I156" s="2">
        <f t="shared" si="10"/>
        <v>3.9192307692307693E-2</v>
      </c>
      <c r="J156" s="2">
        <f t="shared" si="11"/>
        <v>0</v>
      </c>
    </row>
    <row r="157" spans="1:10" x14ac:dyDescent="0.3">
      <c r="A157">
        <v>1000017152</v>
      </c>
      <c r="B157" s="1">
        <f>VLOOKUP(A157,[1]Sheet1!A:B,2,FALSE)</f>
        <v>40554</v>
      </c>
      <c r="C157" s="2">
        <v>0</v>
      </c>
      <c r="D157" s="2">
        <f>SUMIFS([1]Sheet1!D:D,[1]Sheet1!A:A,A157,[1]Sheet1!E:E,"Figurado")</f>
        <v>4032</v>
      </c>
      <c r="E157" s="2">
        <f>SUMIFS([1]Sheet1!D:D,[1]Sheet1!A:A,A157,[1]Sheet1!E:E,"Mallas")</f>
        <v>0</v>
      </c>
      <c r="F157" s="2">
        <f>SUMIFS([1]Sheet1!D:D,[1]Sheet1!A:A,A157,[1]Sheet1!E:E,"Materia Prima")</f>
        <v>0</v>
      </c>
      <c r="G157" s="2">
        <f t="shared" si="8"/>
        <v>1.5507692307692307</v>
      </c>
      <c r="H157">
        <f t="shared" si="9"/>
        <v>1</v>
      </c>
      <c r="I157" s="2">
        <f t="shared" si="10"/>
        <v>1.5507692307692307</v>
      </c>
      <c r="J157" s="2">
        <f t="shared" si="11"/>
        <v>0</v>
      </c>
    </row>
    <row r="158" spans="1:10" x14ac:dyDescent="0.3">
      <c r="A158">
        <v>1000017154</v>
      </c>
      <c r="B158" s="1">
        <f>VLOOKUP(A158,[1]Sheet1!A:B,2,FALSE)</f>
        <v>40554</v>
      </c>
      <c r="C158" s="2">
        <v>0</v>
      </c>
      <c r="D158" s="2">
        <f>SUMIFS([1]Sheet1!D:D,[1]Sheet1!A:A,A158,[1]Sheet1!E:E,"Figurado")</f>
        <v>262.5</v>
      </c>
      <c r="E158" s="2">
        <f>SUMIFS([1]Sheet1!D:D,[1]Sheet1!A:A,A158,[1]Sheet1!E:E,"Mallas")</f>
        <v>0</v>
      </c>
      <c r="F158" s="2">
        <f>SUMIFS([1]Sheet1!D:D,[1]Sheet1!A:A,A158,[1]Sheet1!E:E,"Materia Prima")</f>
        <v>0</v>
      </c>
      <c r="G158" s="2">
        <f t="shared" si="8"/>
        <v>0.10096153846153846</v>
      </c>
      <c r="H158">
        <f t="shared" si="9"/>
        <v>1</v>
      </c>
      <c r="I158" s="2">
        <f t="shared" si="10"/>
        <v>0.10096153846153846</v>
      </c>
      <c r="J158" s="2">
        <f t="shared" si="11"/>
        <v>0</v>
      </c>
    </row>
    <row r="159" spans="1:10" x14ac:dyDescent="0.3">
      <c r="A159">
        <v>1000017155</v>
      </c>
      <c r="B159" s="1">
        <f>VLOOKUP(A159,[1]Sheet1!A:B,2,FALSE)</f>
        <v>40554</v>
      </c>
      <c r="C159" s="2">
        <v>0</v>
      </c>
      <c r="D159" s="2">
        <f>SUMIFS([1]Sheet1!D:D,[1]Sheet1!A:A,A159,[1]Sheet1!E:E,"Figurado")</f>
        <v>262.5</v>
      </c>
      <c r="E159" s="2">
        <f>SUMIFS([1]Sheet1!D:D,[1]Sheet1!A:A,A159,[1]Sheet1!E:E,"Mallas")</f>
        <v>0</v>
      </c>
      <c r="F159" s="2">
        <f>SUMIFS([1]Sheet1!D:D,[1]Sheet1!A:A,A159,[1]Sheet1!E:E,"Materia Prima")</f>
        <v>0</v>
      </c>
      <c r="G159" s="2">
        <f t="shared" si="8"/>
        <v>0.10096153846153846</v>
      </c>
      <c r="H159">
        <f t="shared" si="9"/>
        <v>1</v>
      </c>
      <c r="I159" s="2">
        <f t="shared" si="10"/>
        <v>0.10096153846153846</v>
      </c>
      <c r="J159" s="2">
        <f t="shared" si="11"/>
        <v>0</v>
      </c>
    </row>
    <row r="160" spans="1:10" x14ac:dyDescent="0.3">
      <c r="A160">
        <v>1000017160</v>
      </c>
      <c r="B160" s="1">
        <f>VLOOKUP(A160,[1]Sheet1!A:B,2,FALSE)</f>
        <v>40554</v>
      </c>
      <c r="C160" s="2">
        <v>0</v>
      </c>
      <c r="D160" s="2">
        <f>SUMIFS([1]Sheet1!D:D,[1]Sheet1!A:A,A160,[1]Sheet1!E:E,"Figurado")</f>
        <v>8937.9</v>
      </c>
      <c r="E160" s="2">
        <f>SUMIFS([1]Sheet1!D:D,[1]Sheet1!A:A,A160,[1]Sheet1!E:E,"Mallas")</f>
        <v>0</v>
      </c>
      <c r="F160" s="2">
        <f>SUMIFS([1]Sheet1!D:D,[1]Sheet1!A:A,A160,[1]Sheet1!E:E,"Materia Prima")</f>
        <v>0</v>
      </c>
      <c r="G160" s="2">
        <f t="shared" si="8"/>
        <v>3.4376538461538462</v>
      </c>
      <c r="H160">
        <f t="shared" si="9"/>
        <v>1</v>
      </c>
      <c r="I160" s="2">
        <f t="shared" si="10"/>
        <v>3.4376538461538462</v>
      </c>
      <c r="J160" s="2">
        <f t="shared" si="11"/>
        <v>0</v>
      </c>
    </row>
    <row r="161" spans="1:10" x14ac:dyDescent="0.3">
      <c r="A161">
        <v>1000017161</v>
      </c>
      <c r="B161" s="1">
        <f>VLOOKUP(A161,[1]Sheet1!A:B,2,FALSE)</f>
        <v>40554</v>
      </c>
      <c r="C161" s="2">
        <v>0</v>
      </c>
      <c r="D161" s="2">
        <f>SUMIFS([1]Sheet1!D:D,[1]Sheet1!A:A,A161,[1]Sheet1!E:E,"Figurado")</f>
        <v>0</v>
      </c>
      <c r="E161" s="2">
        <f>SUMIFS([1]Sheet1!D:D,[1]Sheet1!A:A,A161,[1]Sheet1!E:E,"Mallas")</f>
        <v>0</v>
      </c>
      <c r="F161" s="2">
        <f>SUMIFS([1]Sheet1!D:D,[1]Sheet1!A:A,A161,[1]Sheet1!E:E,"Materia Prima")</f>
        <v>7908</v>
      </c>
      <c r="G161" s="2">
        <f t="shared" si="8"/>
        <v>0</v>
      </c>
      <c r="H161">
        <f t="shared" si="9"/>
        <v>1</v>
      </c>
      <c r="I161" s="2">
        <f t="shared" si="10"/>
        <v>0</v>
      </c>
      <c r="J161" s="2">
        <f t="shared" si="11"/>
        <v>0</v>
      </c>
    </row>
    <row r="162" spans="1:10" x14ac:dyDescent="0.3">
      <c r="A162">
        <v>1000017162</v>
      </c>
      <c r="B162" s="1">
        <f>VLOOKUP(A162,[1]Sheet1!A:B,2,FALSE)</f>
        <v>40554</v>
      </c>
      <c r="C162" s="2">
        <v>0</v>
      </c>
      <c r="D162" s="2">
        <f>SUMIFS([1]Sheet1!D:D,[1]Sheet1!A:A,A162,[1]Sheet1!E:E,"Figurado")</f>
        <v>0</v>
      </c>
      <c r="E162" s="2">
        <f>SUMIFS([1]Sheet1!D:D,[1]Sheet1!A:A,A162,[1]Sheet1!E:E,"Mallas")</f>
        <v>0</v>
      </c>
      <c r="F162" s="2">
        <f>SUMIFS([1]Sheet1!D:D,[1]Sheet1!A:A,A162,[1]Sheet1!E:E,"Materia Prima")</f>
        <v>7908</v>
      </c>
      <c r="G162" s="2">
        <f t="shared" si="8"/>
        <v>0</v>
      </c>
      <c r="H162">
        <f t="shared" si="9"/>
        <v>1</v>
      </c>
      <c r="I162" s="2">
        <f t="shared" si="10"/>
        <v>0</v>
      </c>
      <c r="J162" s="2">
        <f t="shared" si="11"/>
        <v>0</v>
      </c>
    </row>
    <row r="163" spans="1:10" x14ac:dyDescent="0.3">
      <c r="A163">
        <v>1000017163</v>
      </c>
      <c r="B163" s="1">
        <f>VLOOKUP(A163,[1]Sheet1!A:B,2,FALSE)</f>
        <v>40554</v>
      </c>
      <c r="C163" s="2">
        <v>0</v>
      </c>
      <c r="D163" s="2">
        <f>SUMIFS([1]Sheet1!D:D,[1]Sheet1!A:A,A163,[1]Sheet1!E:E,"Figurado")</f>
        <v>0</v>
      </c>
      <c r="E163" s="2">
        <f>SUMIFS([1]Sheet1!D:D,[1]Sheet1!A:A,A163,[1]Sheet1!E:E,"Mallas")</f>
        <v>0</v>
      </c>
      <c r="F163" s="2">
        <f>SUMIFS([1]Sheet1!D:D,[1]Sheet1!A:A,A163,[1]Sheet1!E:E,"Materia Prima")</f>
        <v>14544</v>
      </c>
      <c r="G163" s="2">
        <f t="shared" si="8"/>
        <v>0</v>
      </c>
      <c r="H163">
        <f t="shared" si="9"/>
        <v>1</v>
      </c>
      <c r="I163" s="2">
        <f t="shared" si="10"/>
        <v>0</v>
      </c>
      <c r="J163" s="2">
        <f t="shared" si="11"/>
        <v>0</v>
      </c>
    </row>
    <row r="164" spans="1:10" x14ac:dyDescent="0.3">
      <c r="A164">
        <v>1000017164</v>
      </c>
      <c r="B164" s="1">
        <f>VLOOKUP(A164,[1]Sheet1!A:B,2,FALSE)</f>
        <v>40555</v>
      </c>
      <c r="C164" s="2">
        <v>0</v>
      </c>
      <c r="D164" s="2">
        <f>SUMIFS([1]Sheet1!D:D,[1]Sheet1!A:A,A164,[1]Sheet1!E:E,"Figurado")</f>
        <v>10485.6</v>
      </c>
      <c r="E164" s="2">
        <f>SUMIFS([1]Sheet1!D:D,[1]Sheet1!A:A,A164,[1]Sheet1!E:E,"Mallas")</f>
        <v>0</v>
      </c>
      <c r="F164" s="2">
        <f>SUMIFS([1]Sheet1!D:D,[1]Sheet1!A:A,A164,[1]Sheet1!E:E,"Materia Prima")</f>
        <v>0</v>
      </c>
      <c r="G164" s="2">
        <f t="shared" si="8"/>
        <v>4.0329230769230771</v>
      </c>
      <c r="H164">
        <f t="shared" si="9"/>
        <v>1</v>
      </c>
      <c r="I164" s="2">
        <f t="shared" si="10"/>
        <v>4.0329230769230771</v>
      </c>
      <c r="J164" s="2">
        <f t="shared" si="11"/>
        <v>0</v>
      </c>
    </row>
    <row r="165" spans="1:10" x14ac:dyDescent="0.3">
      <c r="A165">
        <v>1000017166</v>
      </c>
      <c r="B165" s="1">
        <f>VLOOKUP(A165,[1]Sheet1!A:B,2,FALSE)</f>
        <v>40555</v>
      </c>
      <c r="C165" s="2">
        <v>0</v>
      </c>
      <c r="D165" s="2">
        <f>SUMIFS([1]Sheet1!D:D,[1]Sheet1!A:A,A165,[1]Sheet1!E:E,"Figurado")</f>
        <v>11334.7</v>
      </c>
      <c r="E165" s="2">
        <f>SUMIFS([1]Sheet1!D:D,[1]Sheet1!A:A,A165,[1]Sheet1!E:E,"Mallas")</f>
        <v>0</v>
      </c>
      <c r="F165" s="2">
        <f>SUMIFS([1]Sheet1!D:D,[1]Sheet1!A:A,A165,[1]Sheet1!E:E,"Materia Prima")</f>
        <v>0</v>
      </c>
      <c r="G165" s="2">
        <f t="shared" si="8"/>
        <v>4.3595000000000006</v>
      </c>
      <c r="H165">
        <f t="shared" si="9"/>
        <v>1</v>
      </c>
      <c r="I165" s="2">
        <f t="shared" si="10"/>
        <v>4.3595000000000006</v>
      </c>
      <c r="J165" s="2">
        <f t="shared" si="11"/>
        <v>0</v>
      </c>
    </row>
    <row r="166" spans="1:10" x14ac:dyDescent="0.3">
      <c r="A166">
        <v>1000017170</v>
      </c>
      <c r="B166" s="1">
        <f>VLOOKUP(A166,[1]Sheet1!A:B,2,FALSE)</f>
        <v>40555</v>
      </c>
      <c r="C166" s="2">
        <v>0</v>
      </c>
      <c r="D166" s="2">
        <f>SUMIFS([1]Sheet1!D:D,[1]Sheet1!A:A,A166,[1]Sheet1!E:E,"Figurado")</f>
        <v>9479.6</v>
      </c>
      <c r="E166" s="2">
        <f>SUMIFS([1]Sheet1!D:D,[1]Sheet1!A:A,A166,[1]Sheet1!E:E,"Mallas")</f>
        <v>0</v>
      </c>
      <c r="F166" s="2">
        <f>SUMIFS([1]Sheet1!D:D,[1]Sheet1!A:A,A166,[1]Sheet1!E:E,"Materia Prima")</f>
        <v>0</v>
      </c>
      <c r="G166" s="2">
        <f t="shared" si="8"/>
        <v>3.6460000000000004</v>
      </c>
      <c r="H166">
        <f t="shared" si="9"/>
        <v>1</v>
      </c>
      <c r="I166" s="2">
        <f t="shared" si="10"/>
        <v>3.6460000000000004</v>
      </c>
      <c r="J166" s="2">
        <f t="shared" si="11"/>
        <v>0</v>
      </c>
    </row>
    <row r="167" spans="1:10" x14ac:dyDescent="0.3">
      <c r="A167">
        <v>1000017171</v>
      </c>
      <c r="B167" s="1">
        <f>VLOOKUP(A167,[1]Sheet1!A:B,2,FALSE)</f>
        <v>40555</v>
      </c>
      <c r="C167" s="2">
        <v>0</v>
      </c>
      <c r="D167" s="2">
        <f>SUMIFS([1]Sheet1!D:D,[1]Sheet1!A:A,A167,[1]Sheet1!E:E,"Figurado")</f>
        <v>21</v>
      </c>
      <c r="E167" s="2">
        <f>SUMIFS([1]Sheet1!D:D,[1]Sheet1!A:A,A167,[1]Sheet1!E:E,"Mallas")</f>
        <v>0</v>
      </c>
      <c r="F167" s="2">
        <f>SUMIFS([1]Sheet1!D:D,[1]Sheet1!A:A,A167,[1]Sheet1!E:E,"Materia Prima")</f>
        <v>0</v>
      </c>
      <c r="G167" s="2">
        <f t="shared" si="8"/>
        <v>8.076923076923077E-3</v>
      </c>
      <c r="H167">
        <f t="shared" si="9"/>
        <v>1</v>
      </c>
      <c r="I167" s="2">
        <f t="shared" si="10"/>
        <v>8.076923076923077E-3</v>
      </c>
      <c r="J167" s="2">
        <f t="shared" si="11"/>
        <v>0</v>
      </c>
    </row>
    <row r="168" spans="1:10" x14ac:dyDescent="0.3">
      <c r="A168">
        <v>1000017172</v>
      </c>
      <c r="B168" s="1">
        <f>VLOOKUP(A168,[1]Sheet1!A:B,2,FALSE)</f>
        <v>40555</v>
      </c>
      <c r="C168" s="2">
        <v>0</v>
      </c>
      <c r="D168" s="2">
        <f>SUMIFS([1]Sheet1!D:D,[1]Sheet1!A:A,A168,[1]Sheet1!E:E,"Figurado")</f>
        <v>1941</v>
      </c>
      <c r="E168" s="2">
        <f>SUMIFS([1]Sheet1!D:D,[1]Sheet1!A:A,A168,[1]Sheet1!E:E,"Mallas")</f>
        <v>0</v>
      </c>
      <c r="F168" s="2">
        <f>SUMIFS([1]Sheet1!D:D,[1]Sheet1!A:A,A168,[1]Sheet1!E:E,"Materia Prima")</f>
        <v>0</v>
      </c>
      <c r="G168" s="2">
        <f t="shared" si="8"/>
        <v>0.74653846153846148</v>
      </c>
      <c r="H168">
        <f t="shared" si="9"/>
        <v>1</v>
      </c>
      <c r="I168" s="2">
        <f t="shared" si="10"/>
        <v>0.74653846153846148</v>
      </c>
      <c r="J168" s="2">
        <f t="shared" si="11"/>
        <v>0</v>
      </c>
    </row>
    <row r="169" spans="1:10" x14ac:dyDescent="0.3">
      <c r="A169">
        <v>1000017173</v>
      </c>
      <c r="B169" s="1">
        <f>VLOOKUP(A169,[1]Sheet1!A:B,2,FALSE)</f>
        <v>40555</v>
      </c>
      <c r="C169" s="2">
        <v>0</v>
      </c>
      <c r="D169" s="2">
        <f>SUMIFS([1]Sheet1!D:D,[1]Sheet1!A:A,A169,[1]Sheet1!E:E,"Figurado")</f>
        <v>334.6</v>
      </c>
      <c r="E169" s="2">
        <f>SUMIFS([1]Sheet1!D:D,[1]Sheet1!A:A,A169,[1]Sheet1!E:E,"Mallas")</f>
        <v>0</v>
      </c>
      <c r="F169" s="2">
        <f>SUMIFS([1]Sheet1!D:D,[1]Sheet1!A:A,A169,[1]Sheet1!E:E,"Materia Prima")</f>
        <v>0</v>
      </c>
      <c r="G169" s="2">
        <f t="shared" si="8"/>
        <v>0.12869230769230769</v>
      </c>
      <c r="H169">
        <f t="shared" si="9"/>
        <v>1</v>
      </c>
      <c r="I169" s="2">
        <f t="shared" si="10"/>
        <v>0.12869230769230769</v>
      </c>
      <c r="J169" s="2">
        <f t="shared" si="11"/>
        <v>0</v>
      </c>
    </row>
    <row r="170" spans="1:10" x14ac:dyDescent="0.3">
      <c r="A170">
        <v>1000017174</v>
      </c>
      <c r="B170" s="1">
        <f>VLOOKUP(A170,[1]Sheet1!A:B,2,FALSE)</f>
        <v>40555</v>
      </c>
      <c r="C170" s="2">
        <v>0</v>
      </c>
      <c r="D170" s="2">
        <f>SUMIFS([1]Sheet1!D:D,[1]Sheet1!A:A,A170,[1]Sheet1!E:E,"Figurado")</f>
        <v>6</v>
      </c>
      <c r="E170" s="2">
        <f>SUMIFS([1]Sheet1!D:D,[1]Sheet1!A:A,A170,[1]Sheet1!E:E,"Mallas")</f>
        <v>0</v>
      </c>
      <c r="F170" s="2">
        <f>SUMIFS([1]Sheet1!D:D,[1]Sheet1!A:A,A170,[1]Sheet1!E:E,"Materia Prima")</f>
        <v>0</v>
      </c>
      <c r="G170" s="2">
        <f t="shared" si="8"/>
        <v>2.3076923076923079E-3</v>
      </c>
      <c r="H170">
        <f t="shared" si="9"/>
        <v>1</v>
      </c>
      <c r="I170" s="2">
        <f t="shared" si="10"/>
        <v>2.3076923076923079E-3</v>
      </c>
      <c r="J170" s="2">
        <f t="shared" si="11"/>
        <v>0</v>
      </c>
    </row>
    <row r="171" spans="1:10" x14ac:dyDescent="0.3">
      <c r="A171">
        <v>1000017175</v>
      </c>
      <c r="B171" s="1">
        <f>VLOOKUP(A171,[1]Sheet1!A:B,2,FALSE)</f>
        <v>40555</v>
      </c>
      <c r="C171" s="2">
        <v>0</v>
      </c>
      <c r="D171" s="2">
        <f>SUMIFS([1]Sheet1!D:D,[1]Sheet1!A:A,A171,[1]Sheet1!E:E,"Figurado")</f>
        <v>846.2</v>
      </c>
      <c r="E171" s="2">
        <f>SUMIFS([1]Sheet1!D:D,[1]Sheet1!A:A,A171,[1]Sheet1!E:E,"Mallas")</f>
        <v>0</v>
      </c>
      <c r="F171" s="2">
        <f>SUMIFS([1]Sheet1!D:D,[1]Sheet1!A:A,A171,[1]Sheet1!E:E,"Materia Prima")</f>
        <v>0</v>
      </c>
      <c r="G171" s="2">
        <f t="shared" si="8"/>
        <v>0.32546153846153847</v>
      </c>
      <c r="H171">
        <f t="shared" si="9"/>
        <v>1</v>
      </c>
      <c r="I171" s="2">
        <f t="shared" si="10"/>
        <v>0.32546153846153847</v>
      </c>
      <c r="J171" s="2">
        <f t="shared" si="11"/>
        <v>0</v>
      </c>
    </row>
    <row r="172" spans="1:10" x14ac:dyDescent="0.3">
      <c r="A172">
        <v>1000017176</v>
      </c>
      <c r="B172" s="1">
        <f>VLOOKUP(A172,[1]Sheet1!A:B,2,FALSE)</f>
        <v>40555</v>
      </c>
      <c r="C172" s="2">
        <v>0</v>
      </c>
      <c r="D172" s="2">
        <f>SUMIFS([1]Sheet1!D:D,[1]Sheet1!A:A,A172,[1]Sheet1!E:E,"Figurado")</f>
        <v>8684</v>
      </c>
      <c r="E172" s="2">
        <f>SUMIFS([1]Sheet1!D:D,[1]Sheet1!A:A,A172,[1]Sheet1!E:E,"Mallas")</f>
        <v>0</v>
      </c>
      <c r="F172" s="2">
        <f>SUMIFS([1]Sheet1!D:D,[1]Sheet1!A:A,A172,[1]Sheet1!E:E,"Materia Prima")</f>
        <v>0</v>
      </c>
      <c r="G172" s="2">
        <f t="shared" si="8"/>
        <v>3.34</v>
      </c>
      <c r="H172">
        <f t="shared" si="9"/>
        <v>1</v>
      </c>
      <c r="I172" s="2">
        <f t="shared" si="10"/>
        <v>3.34</v>
      </c>
      <c r="J172" s="2">
        <f t="shared" si="11"/>
        <v>0</v>
      </c>
    </row>
    <row r="173" spans="1:10" x14ac:dyDescent="0.3">
      <c r="A173">
        <v>1000017177</v>
      </c>
      <c r="B173" s="1">
        <f>VLOOKUP(A173,[1]Sheet1!A:B,2,FALSE)</f>
        <v>40555</v>
      </c>
      <c r="C173" s="2">
        <v>0</v>
      </c>
      <c r="D173" s="2">
        <f>SUMIFS([1]Sheet1!D:D,[1]Sheet1!A:A,A173,[1]Sheet1!E:E,"Figurado")</f>
        <v>70.599999999999994</v>
      </c>
      <c r="E173" s="2">
        <f>SUMIFS([1]Sheet1!D:D,[1]Sheet1!A:A,A173,[1]Sheet1!E:E,"Mallas")</f>
        <v>0</v>
      </c>
      <c r="F173" s="2">
        <f>SUMIFS([1]Sheet1!D:D,[1]Sheet1!A:A,A173,[1]Sheet1!E:E,"Materia Prima")</f>
        <v>0</v>
      </c>
      <c r="G173" s="2">
        <f t="shared" si="8"/>
        <v>2.715384615384615E-2</v>
      </c>
      <c r="H173">
        <f t="shared" si="9"/>
        <v>1</v>
      </c>
      <c r="I173" s="2">
        <f t="shared" si="10"/>
        <v>2.715384615384615E-2</v>
      </c>
      <c r="J173" s="2">
        <f t="shared" si="11"/>
        <v>0</v>
      </c>
    </row>
    <row r="174" spans="1:10" x14ac:dyDescent="0.3">
      <c r="A174">
        <v>1000017178</v>
      </c>
      <c r="B174" s="1">
        <f>VLOOKUP(A174,[1]Sheet1!A:B,2,FALSE)</f>
        <v>40555</v>
      </c>
      <c r="C174" s="2">
        <v>0</v>
      </c>
      <c r="D174" s="2">
        <f>SUMIFS([1]Sheet1!D:D,[1]Sheet1!A:A,A174,[1]Sheet1!E:E,"Figurado")</f>
        <v>723</v>
      </c>
      <c r="E174" s="2">
        <f>SUMIFS([1]Sheet1!D:D,[1]Sheet1!A:A,A174,[1]Sheet1!E:E,"Mallas")</f>
        <v>0</v>
      </c>
      <c r="F174" s="2">
        <f>SUMIFS([1]Sheet1!D:D,[1]Sheet1!A:A,A174,[1]Sheet1!E:E,"Materia Prima")</f>
        <v>0</v>
      </c>
      <c r="G174" s="2">
        <f t="shared" si="8"/>
        <v>0.27807692307692305</v>
      </c>
      <c r="H174">
        <f t="shared" si="9"/>
        <v>1</v>
      </c>
      <c r="I174" s="2">
        <f t="shared" si="10"/>
        <v>0.27807692307692305</v>
      </c>
      <c r="J174" s="2">
        <f t="shared" si="11"/>
        <v>0</v>
      </c>
    </row>
    <row r="175" spans="1:10" x14ac:dyDescent="0.3">
      <c r="A175">
        <v>1000017179</v>
      </c>
      <c r="B175" s="1">
        <f>VLOOKUP(A175,[1]Sheet1!A:B,2,FALSE)</f>
        <v>40555</v>
      </c>
      <c r="C175" s="2">
        <v>0</v>
      </c>
      <c r="D175" s="2">
        <f>SUMIFS([1]Sheet1!D:D,[1]Sheet1!A:A,A175,[1]Sheet1!E:E,"Figurado")</f>
        <v>5780.7</v>
      </c>
      <c r="E175" s="2">
        <f>SUMIFS([1]Sheet1!D:D,[1]Sheet1!A:A,A175,[1]Sheet1!E:E,"Mallas")</f>
        <v>0</v>
      </c>
      <c r="F175" s="2">
        <f>SUMIFS([1]Sheet1!D:D,[1]Sheet1!A:A,A175,[1]Sheet1!E:E,"Materia Prima")</f>
        <v>0</v>
      </c>
      <c r="G175" s="2">
        <f t="shared" si="8"/>
        <v>2.2233461538461539</v>
      </c>
      <c r="H175">
        <f t="shared" si="9"/>
        <v>1</v>
      </c>
      <c r="I175" s="2">
        <f t="shared" si="10"/>
        <v>2.2233461538461539</v>
      </c>
      <c r="J175" s="2">
        <f t="shared" si="11"/>
        <v>0</v>
      </c>
    </row>
    <row r="176" spans="1:10" x14ac:dyDescent="0.3">
      <c r="A176">
        <v>1000017121</v>
      </c>
      <c r="B176" s="1">
        <f>VLOOKUP(A176,[1]Sheet1!A:B,2,FALSE)</f>
        <v>40550</v>
      </c>
      <c r="C176" s="2">
        <v>0</v>
      </c>
      <c r="D176" s="2">
        <f>SUMIFS([1]Sheet1!D:D,[1]Sheet1!A:A,A176,[1]Sheet1!E:E,"Figurado")</f>
        <v>0</v>
      </c>
      <c r="E176" s="2">
        <f>SUMIFS([1]Sheet1!D:D,[1]Sheet1!A:A,A176,[1]Sheet1!E:E,"Mallas")</f>
        <v>0</v>
      </c>
      <c r="F176" s="2">
        <f>SUMIFS([1]Sheet1!D:D,[1]Sheet1!A:A,A176,[1]Sheet1!E:E,"Materia Prima")</f>
        <v>1278.72</v>
      </c>
      <c r="G176" s="2">
        <f t="shared" si="8"/>
        <v>0</v>
      </c>
      <c r="H176">
        <f t="shared" si="9"/>
        <v>1</v>
      </c>
      <c r="I176" s="2">
        <f t="shared" si="10"/>
        <v>0</v>
      </c>
      <c r="J176" s="2">
        <f t="shared" si="11"/>
        <v>0</v>
      </c>
    </row>
    <row r="177" spans="1:10" x14ac:dyDescent="0.3">
      <c r="A177">
        <v>1000017122</v>
      </c>
      <c r="B177" s="1">
        <f>VLOOKUP(A177,[1]Sheet1!A:B,2,FALSE)</f>
        <v>40550</v>
      </c>
      <c r="C177" s="2">
        <v>0</v>
      </c>
      <c r="D177" s="2">
        <f>SUMIFS([1]Sheet1!D:D,[1]Sheet1!A:A,A177,[1]Sheet1!E:E,"Figurado")</f>
        <v>0</v>
      </c>
      <c r="E177" s="2">
        <f>SUMIFS([1]Sheet1!D:D,[1]Sheet1!A:A,A177,[1]Sheet1!E:E,"Mallas")</f>
        <v>0</v>
      </c>
      <c r="F177" s="2">
        <f>SUMIFS([1]Sheet1!D:D,[1]Sheet1!A:A,A177,[1]Sheet1!E:E,"Materia Prima")</f>
        <v>148</v>
      </c>
      <c r="G177" s="2">
        <f t="shared" si="8"/>
        <v>0</v>
      </c>
      <c r="H177">
        <f t="shared" si="9"/>
        <v>1</v>
      </c>
      <c r="I177" s="2">
        <f t="shared" si="10"/>
        <v>0</v>
      </c>
      <c r="J177" s="2">
        <f t="shared" si="11"/>
        <v>0</v>
      </c>
    </row>
    <row r="178" spans="1:10" x14ac:dyDescent="0.3">
      <c r="A178">
        <v>1000017123</v>
      </c>
      <c r="B178" s="1">
        <f>VLOOKUP(A178,[1]Sheet1!A:B,2,FALSE)</f>
        <v>40550</v>
      </c>
      <c r="C178" s="2">
        <v>0</v>
      </c>
      <c r="D178" s="2">
        <f>SUMIFS([1]Sheet1!D:D,[1]Sheet1!A:A,A178,[1]Sheet1!E:E,"Figurado")</f>
        <v>0</v>
      </c>
      <c r="E178" s="2">
        <f>SUMIFS([1]Sheet1!D:D,[1]Sheet1!A:A,A178,[1]Sheet1!E:E,"Mallas")</f>
        <v>3164.64</v>
      </c>
      <c r="F178" s="2">
        <f>SUMIFS([1]Sheet1!D:D,[1]Sheet1!A:A,A178,[1]Sheet1!E:E,"Materia Prima")</f>
        <v>305</v>
      </c>
      <c r="G178" s="2">
        <f t="shared" si="8"/>
        <v>3.9558</v>
      </c>
      <c r="H178">
        <f t="shared" si="9"/>
        <v>2</v>
      </c>
      <c r="I178" s="2">
        <f t="shared" si="10"/>
        <v>0</v>
      </c>
      <c r="J178" s="2">
        <f t="shared" si="11"/>
        <v>3.9558</v>
      </c>
    </row>
    <row r="179" spans="1:10" x14ac:dyDescent="0.3">
      <c r="A179">
        <v>1000017124</v>
      </c>
      <c r="B179" s="1">
        <f>VLOOKUP(A179,[1]Sheet1!A:B,2,FALSE)</f>
        <v>40550</v>
      </c>
      <c r="C179" s="2">
        <v>0</v>
      </c>
      <c r="D179" s="2">
        <f>SUMIFS([1]Sheet1!D:D,[1]Sheet1!A:A,A179,[1]Sheet1!E:E,"Figurado")</f>
        <v>0</v>
      </c>
      <c r="E179" s="2">
        <f>SUMIFS([1]Sheet1!D:D,[1]Sheet1!A:A,A179,[1]Sheet1!E:E,"Mallas")</f>
        <v>1026.96</v>
      </c>
      <c r="F179" s="2">
        <f>SUMIFS([1]Sheet1!D:D,[1]Sheet1!A:A,A179,[1]Sheet1!E:E,"Materia Prima")</f>
        <v>0</v>
      </c>
      <c r="G179" s="2">
        <f t="shared" si="8"/>
        <v>1.2837000000000001</v>
      </c>
      <c r="H179">
        <f t="shared" si="9"/>
        <v>1</v>
      </c>
      <c r="I179" s="2">
        <f t="shared" si="10"/>
        <v>0</v>
      </c>
      <c r="J179" s="2">
        <f t="shared" si="11"/>
        <v>1.2837000000000001</v>
      </c>
    </row>
    <row r="180" spans="1:10" x14ac:dyDescent="0.3">
      <c r="A180">
        <v>1000017125</v>
      </c>
      <c r="B180" s="1">
        <f>VLOOKUP(A180,[1]Sheet1!A:B,2,FALSE)</f>
        <v>40550</v>
      </c>
      <c r="C180" s="2">
        <v>0</v>
      </c>
      <c r="D180" s="2">
        <f>SUMIFS([1]Sheet1!D:D,[1]Sheet1!A:A,A180,[1]Sheet1!E:E,"Figurado")</f>
        <v>0</v>
      </c>
      <c r="E180" s="2">
        <f>SUMIFS([1]Sheet1!D:D,[1]Sheet1!A:A,A180,[1]Sheet1!E:E,"Mallas")</f>
        <v>114.76</v>
      </c>
      <c r="F180" s="2">
        <f>SUMIFS([1]Sheet1!D:D,[1]Sheet1!A:A,A180,[1]Sheet1!E:E,"Materia Prima")</f>
        <v>0</v>
      </c>
      <c r="G180" s="2">
        <f t="shared" si="8"/>
        <v>0.14344999999999999</v>
      </c>
      <c r="H180">
        <f t="shared" si="9"/>
        <v>1</v>
      </c>
      <c r="I180" s="2">
        <f t="shared" si="10"/>
        <v>0</v>
      </c>
      <c r="J180" s="2">
        <f t="shared" si="11"/>
        <v>0.14344999999999999</v>
      </c>
    </row>
    <row r="181" spans="1:10" x14ac:dyDescent="0.3">
      <c r="A181">
        <v>1000017126</v>
      </c>
      <c r="B181" s="1">
        <f>VLOOKUP(A181,[1]Sheet1!A:B,2,FALSE)</f>
        <v>40550</v>
      </c>
      <c r="C181" s="2">
        <v>0</v>
      </c>
      <c r="D181" s="2">
        <f>SUMIFS([1]Sheet1!D:D,[1]Sheet1!A:A,A181,[1]Sheet1!E:E,"Figurado")</f>
        <v>0</v>
      </c>
      <c r="E181" s="2">
        <f>SUMIFS([1]Sheet1!D:D,[1]Sheet1!A:A,A181,[1]Sheet1!E:E,"Mallas")</f>
        <v>68</v>
      </c>
      <c r="F181" s="2">
        <f>SUMIFS([1]Sheet1!D:D,[1]Sheet1!A:A,A181,[1]Sheet1!E:E,"Materia Prima")</f>
        <v>0</v>
      </c>
      <c r="G181" s="2">
        <f t="shared" si="8"/>
        <v>8.5000000000000006E-2</v>
      </c>
      <c r="H181">
        <f t="shared" si="9"/>
        <v>1</v>
      </c>
      <c r="I181" s="2">
        <f t="shared" si="10"/>
        <v>0</v>
      </c>
      <c r="J181" s="2">
        <f t="shared" si="11"/>
        <v>8.5000000000000006E-2</v>
      </c>
    </row>
    <row r="182" spans="1:10" x14ac:dyDescent="0.3">
      <c r="A182">
        <v>1000017151</v>
      </c>
      <c r="B182" s="1">
        <f>VLOOKUP(A182,[1]Sheet1!A:B,2,FALSE)</f>
        <v>40554</v>
      </c>
      <c r="C182" s="2">
        <v>0</v>
      </c>
      <c r="D182" s="2">
        <f>SUMIFS([1]Sheet1!D:D,[1]Sheet1!A:A,A182,[1]Sheet1!E:E,"Figurado")</f>
        <v>0</v>
      </c>
      <c r="E182" s="2">
        <f>SUMIFS([1]Sheet1!D:D,[1]Sheet1!A:A,A182,[1]Sheet1!E:E,"Mallas")</f>
        <v>0</v>
      </c>
      <c r="F182" s="2">
        <f>SUMIFS([1]Sheet1!D:D,[1]Sheet1!A:A,A182,[1]Sheet1!E:E,"Materia Prima")</f>
        <v>500</v>
      </c>
      <c r="G182" s="2">
        <f t="shared" si="8"/>
        <v>0</v>
      </c>
      <c r="H182">
        <f t="shared" si="9"/>
        <v>1</v>
      </c>
      <c r="I182" s="2">
        <f t="shared" si="10"/>
        <v>0</v>
      </c>
      <c r="J182" s="2">
        <f t="shared" si="11"/>
        <v>0</v>
      </c>
    </row>
    <row r="183" spans="1:10" x14ac:dyDescent="0.3">
      <c r="A183">
        <v>1000017153</v>
      </c>
      <c r="B183" s="1">
        <f>VLOOKUP(A183,[1]Sheet1!A:B,2,FALSE)</f>
        <v>40554</v>
      </c>
      <c r="C183" s="2">
        <v>0</v>
      </c>
      <c r="D183" s="2">
        <f>SUMIFS([1]Sheet1!D:D,[1]Sheet1!A:A,A183,[1]Sheet1!E:E,"Figurado")</f>
        <v>0</v>
      </c>
      <c r="E183" s="2">
        <f>SUMIFS([1]Sheet1!D:D,[1]Sheet1!A:A,A183,[1]Sheet1!E:E,"Mallas")</f>
        <v>0</v>
      </c>
      <c r="F183" s="2">
        <f>SUMIFS([1]Sheet1!D:D,[1]Sheet1!A:A,A183,[1]Sheet1!E:E,"Materia Prima")</f>
        <v>502</v>
      </c>
      <c r="G183" s="2">
        <f t="shared" si="8"/>
        <v>0</v>
      </c>
      <c r="H183">
        <f t="shared" si="9"/>
        <v>1</v>
      </c>
      <c r="I183" s="2">
        <f t="shared" si="10"/>
        <v>0</v>
      </c>
      <c r="J183" s="2">
        <f t="shared" si="11"/>
        <v>0</v>
      </c>
    </row>
    <row r="184" spans="1:10" x14ac:dyDescent="0.3">
      <c r="A184">
        <v>1000017156</v>
      </c>
      <c r="B184" s="1">
        <f>VLOOKUP(A184,[1]Sheet1!A:B,2,FALSE)</f>
        <v>40554</v>
      </c>
      <c r="C184" s="2">
        <v>0</v>
      </c>
      <c r="D184" s="2">
        <f>SUMIFS([1]Sheet1!D:D,[1]Sheet1!A:A,A184,[1]Sheet1!E:E,"Figurado")</f>
        <v>0</v>
      </c>
      <c r="E184" s="2">
        <f>SUMIFS([1]Sheet1!D:D,[1]Sheet1!A:A,A184,[1]Sheet1!E:E,"Mallas")</f>
        <v>548</v>
      </c>
      <c r="F184" s="2">
        <f>SUMIFS([1]Sheet1!D:D,[1]Sheet1!A:A,A184,[1]Sheet1!E:E,"Materia Prima")</f>
        <v>0</v>
      </c>
      <c r="G184" s="2">
        <f t="shared" si="8"/>
        <v>0.68500000000000005</v>
      </c>
      <c r="H184">
        <f t="shared" si="9"/>
        <v>1</v>
      </c>
      <c r="I184" s="2">
        <f t="shared" si="10"/>
        <v>0</v>
      </c>
      <c r="J184" s="2">
        <f t="shared" si="11"/>
        <v>0.68500000000000005</v>
      </c>
    </row>
    <row r="185" spans="1:10" x14ac:dyDescent="0.3">
      <c r="A185">
        <v>1000017158</v>
      </c>
      <c r="B185" s="1">
        <f>VLOOKUP(A185,[1]Sheet1!A:B,2,FALSE)</f>
        <v>40554</v>
      </c>
      <c r="C185" s="2">
        <v>0</v>
      </c>
      <c r="D185" s="2">
        <f>SUMIFS([1]Sheet1!D:D,[1]Sheet1!A:A,A185,[1]Sheet1!E:E,"Figurado")</f>
        <v>0</v>
      </c>
      <c r="E185" s="2">
        <f>SUMIFS([1]Sheet1!D:D,[1]Sheet1!A:A,A185,[1]Sheet1!E:E,"Mallas")</f>
        <v>639.54</v>
      </c>
      <c r="F185" s="2">
        <f>SUMIFS([1]Sheet1!D:D,[1]Sheet1!A:A,A185,[1]Sheet1!E:E,"Materia Prima")</f>
        <v>0</v>
      </c>
      <c r="G185" s="2">
        <f t="shared" si="8"/>
        <v>0.79942499999999994</v>
      </c>
      <c r="H185">
        <f t="shared" si="9"/>
        <v>1</v>
      </c>
      <c r="I185" s="2">
        <f t="shared" si="10"/>
        <v>0</v>
      </c>
      <c r="J185" s="2">
        <f t="shared" si="11"/>
        <v>0.79942499999999994</v>
      </c>
    </row>
    <row r="186" spans="1:10" x14ac:dyDescent="0.3">
      <c r="A186">
        <v>1000017159</v>
      </c>
      <c r="B186" s="1">
        <f>VLOOKUP(A186,[1]Sheet1!A:B,2,FALSE)</f>
        <v>40554</v>
      </c>
      <c r="C186" s="2">
        <v>0</v>
      </c>
      <c r="D186" s="2">
        <f>SUMIFS([1]Sheet1!D:D,[1]Sheet1!A:A,A186,[1]Sheet1!E:E,"Figurado")</f>
        <v>0</v>
      </c>
      <c r="E186" s="2">
        <f>SUMIFS([1]Sheet1!D:D,[1]Sheet1!A:A,A186,[1]Sheet1!E:E,"Mallas")</f>
        <v>1776.5</v>
      </c>
      <c r="F186" s="2">
        <f>SUMIFS([1]Sheet1!D:D,[1]Sheet1!A:A,A186,[1]Sheet1!E:E,"Materia Prima")</f>
        <v>0</v>
      </c>
      <c r="G186" s="2">
        <f t="shared" si="8"/>
        <v>2.2206250000000001</v>
      </c>
      <c r="H186">
        <f t="shared" si="9"/>
        <v>1</v>
      </c>
      <c r="I186" s="2">
        <f t="shared" si="10"/>
        <v>0</v>
      </c>
      <c r="J186" s="2">
        <f t="shared" si="11"/>
        <v>2.2206250000000001</v>
      </c>
    </row>
    <row r="187" spans="1:10" x14ac:dyDescent="0.3">
      <c r="A187">
        <v>1000017165</v>
      </c>
      <c r="B187" s="1">
        <f>VLOOKUP(A187,[1]Sheet1!A:B,2,FALSE)</f>
        <v>40555</v>
      </c>
      <c r="C187" s="2">
        <v>0</v>
      </c>
      <c r="D187" s="2">
        <f>SUMIFS([1]Sheet1!D:D,[1]Sheet1!A:A,A187,[1]Sheet1!E:E,"Figurado")</f>
        <v>5388.7</v>
      </c>
      <c r="E187" s="2">
        <f>SUMIFS([1]Sheet1!D:D,[1]Sheet1!A:A,A187,[1]Sheet1!E:E,"Mallas")</f>
        <v>0</v>
      </c>
      <c r="F187" s="2">
        <f>SUMIFS([1]Sheet1!D:D,[1]Sheet1!A:A,A187,[1]Sheet1!E:E,"Materia Prima")</f>
        <v>0</v>
      </c>
      <c r="G187" s="2">
        <f t="shared" si="8"/>
        <v>2.0725769230769231</v>
      </c>
      <c r="H187">
        <f t="shared" si="9"/>
        <v>1</v>
      </c>
      <c r="I187" s="2">
        <f t="shared" si="10"/>
        <v>2.0725769230769231</v>
      </c>
      <c r="J187" s="2">
        <f t="shared" si="11"/>
        <v>0</v>
      </c>
    </row>
    <row r="188" spans="1:10" x14ac:dyDescent="0.3">
      <c r="A188">
        <v>1000017167</v>
      </c>
      <c r="B188" s="1">
        <f>VLOOKUP(A188,[1]Sheet1!A:B,2,FALSE)</f>
        <v>40555</v>
      </c>
      <c r="C188" s="2">
        <v>0</v>
      </c>
      <c r="D188" s="2">
        <f>SUMIFS([1]Sheet1!D:D,[1]Sheet1!A:A,A188,[1]Sheet1!E:E,"Figurado")</f>
        <v>0</v>
      </c>
      <c r="E188" s="2">
        <f>SUMIFS([1]Sheet1!D:D,[1]Sheet1!A:A,A188,[1]Sheet1!E:E,"Mallas")</f>
        <v>1349.76</v>
      </c>
      <c r="F188" s="2">
        <f>SUMIFS([1]Sheet1!D:D,[1]Sheet1!A:A,A188,[1]Sheet1!E:E,"Materia Prima")</f>
        <v>0</v>
      </c>
      <c r="G188" s="2">
        <f t="shared" si="8"/>
        <v>1.6872</v>
      </c>
      <c r="H188">
        <f t="shared" si="9"/>
        <v>1</v>
      </c>
      <c r="I188" s="2">
        <f t="shared" si="10"/>
        <v>0</v>
      </c>
      <c r="J188" s="2">
        <f t="shared" si="11"/>
        <v>1.6872</v>
      </c>
    </row>
    <row r="189" spans="1:10" x14ac:dyDescent="0.3">
      <c r="A189">
        <v>1000017168</v>
      </c>
      <c r="B189" s="1">
        <f>VLOOKUP(A189,[1]Sheet1!A:B,2,FALSE)</f>
        <v>40555</v>
      </c>
      <c r="C189" s="2">
        <v>0</v>
      </c>
      <c r="D189" s="2">
        <f>SUMIFS([1]Sheet1!D:D,[1]Sheet1!A:A,A189,[1]Sheet1!E:E,"Figurado")</f>
        <v>0</v>
      </c>
      <c r="E189" s="2">
        <f>SUMIFS([1]Sheet1!D:D,[1]Sheet1!A:A,A189,[1]Sheet1!E:E,"Mallas")</f>
        <v>1645.02</v>
      </c>
      <c r="F189" s="2">
        <f>SUMIFS([1]Sheet1!D:D,[1]Sheet1!A:A,A189,[1]Sheet1!E:E,"Materia Prima")</f>
        <v>0</v>
      </c>
      <c r="G189" s="2">
        <f t="shared" si="8"/>
        <v>2.0562749999999999</v>
      </c>
      <c r="H189">
        <f t="shared" si="9"/>
        <v>1</v>
      </c>
      <c r="I189" s="2">
        <f t="shared" si="10"/>
        <v>0</v>
      </c>
      <c r="J189" s="2">
        <f t="shared" si="11"/>
        <v>2.0562749999999999</v>
      </c>
    </row>
    <row r="190" spans="1:10" x14ac:dyDescent="0.3">
      <c r="A190">
        <v>1000017169</v>
      </c>
      <c r="B190" s="1">
        <f>VLOOKUP(A190,[1]Sheet1!A:B,2,FALSE)</f>
        <v>40555</v>
      </c>
      <c r="C190" s="2">
        <v>0</v>
      </c>
      <c r="D190" s="2">
        <f>SUMIFS([1]Sheet1!D:D,[1]Sheet1!A:A,A190,[1]Sheet1!E:E,"Figurado")</f>
        <v>0</v>
      </c>
      <c r="E190" s="2">
        <f>SUMIFS([1]Sheet1!D:D,[1]Sheet1!A:A,A190,[1]Sheet1!E:E,"Mallas")</f>
        <v>1729.38</v>
      </c>
      <c r="F190" s="2">
        <f>SUMIFS([1]Sheet1!D:D,[1]Sheet1!A:A,A190,[1]Sheet1!E:E,"Materia Prima")</f>
        <v>0</v>
      </c>
      <c r="G190" s="2">
        <f t="shared" si="8"/>
        <v>2.1617250000000001</v>
      </c>
      <c r="H190">
        <f t="shared" si="9"/>
        <v>1</v>
      </c>
      <c r="I190" s="2">
        <f t="shared" si="10"/>
        <v>0</v>
      </c>
      <c r="J190" s="2">
        <f t="shared" si="11"/>
        <v>2.1617250000000001</v>
      </c>
    </row>
    <row r="191" spans="1:10" x14ac:dyDescent="0.3">
      <c r="A191">
        <v>1000017187</v>
      </c>
      <c r="B191" s="1">
        <f>VLOOKUP(A191,[1]Sheet1!A:B,2,FALSE)</f>
        <v>40555</v>
      </c>
      <c r="C191" s="2">
        <v>0</v>
      </c>
      <c r="D191" s="2">
        <f>SUMIFS([1]Sheet1!D:D,[1]Sheet1!A:A,A191,[1]Sheet1!E:E,"Figurado")</f>
        <v>936.8</v>
      </c>
      <c r="E191" s="2">
        <f>SUMIFS([1]Sheet1!D:D,[1]Sheet1!A:A,A191,[1]Sheet1!E:E,"Mallas")</f>
        <v>0</v>
      </c>
      <c r="F191" s="2">
        <f>SUMIFS([1]Sheet1!D:D,[1]Sheet1!A:A,A191,[1]Sheet1!E:E,"Materia Prima")</f>
        <v>0</v>
      </c>
      <c r="G191" s="2">
        <f t="shared" si="8"/>
        <v>0.36030769230769227</v>
      </c>
      <c r="H191">
        <f t="shared" si="9"/>
        <v>1</v>
      </c>
      <c r="I191" s="2">
        <f t="shared" si="10"/>
        <v>0.36030769230769227</v>
      </c>
      <c r="J191" s="2">
        <f t="shared" si="11"/>
        <v>0</v>
      </c>
    </row>
    <row r="192" spans="1:10" x14ac:dyDescent="0.3">
      <c r="A192">
        <v>1000017188</v>
      </c>
      <c r="B192" s="1">
        <f>VLOOKUP(A192,[1]Sheet1!A:B,2,FALSE)</f>
        <v>40555</v>
      </c>
      <c r="C192" s="2">
        <v>0</v>
      </c>
      <c r="D192" s="2">
        <f>SUMIFS([1]Sheet1!D:D,[1]Sheet1!A:A,A192,[1]Sheet1!E:E,"Figurado")</f>
        <v>846.7</v>
      </c>
      <c r="E192" s="2">
        <f>SUMIFS([1]Sheet1!D:D,[1]Sheet1!A:A,A192,[1]Sheet1!E:E,"Mallas")</f>
        <v>0</v>
      </c>
      <c r="F192" s="2">
        <f>SUMIFS([1]Sheet1!D:D,[1]Sheet1!A:A,A192,[1]Sheet1!E:E,"Materia Prima")</f>
        <v>0</v>
      </c>
      <c r="G192" s="2">
        <f t="shared" si="8"/>
        <v>0.32565384615384618</v>
      </c>
      <c r="H192">
        <f t="shared" si="9"/>
        <v>1</v>
      </c>
      <c r="I192" s="2">
        <f t="shared" si="10"/>
        <v>0.32565384615384618</v>
      </c>
      <c r="J192" s="2">
        <f t="shared" si="11"/>
        <v>0</v>
      </c>
    </row>
    <row r="193" spans="1:10" x14ac:dyDescent="0.3">
      <c r="A193">
        <v>1000017189</v>
      </c>
      <c r="B193" s="1">
        <f>VLOOKUP(A193,[1]Sheet1!A:B,2,FALSE)</f>
        <v>40555</v>
      </c>
      <c r="C193" s="2">
        <v>0</v>
      </c>
      <c r="D193" s="2">
        <f>SUMIFS([1]Sheet1!D:D,[1]Sheet1!A:A,A193,[1]Sheet1!E:E,"Figurado")</f>
        <v>5485.3</v>
      </c>
      <c r="E193" s="2">
        <f>SUMIFS([1]Sheet1!D:D,[1]Sheet1!A:A,A193,[1]Sheet1!E:E,"Mallas")</f>
        <v>0</v>
      </c>
      <c r="F193" s="2">
        <f>SUMIFS([1]Sheet1!D:D,[1]Sheet1!A:A,A193,[1]Sheet1!E:E,"Materia Prima")</f>
        <v>288</v>
      </c>
      <c r="G193" s="2">
        <f t="shared" si="8"/>
        <v>2.1097307692307692</v>
      </c>
      <c r="H193">
        <f t="shared" si="9"/>
        <v>2</v>
      </c>
      <c r="I193" s="2">
        <f t="shared" si="10"/>
        <v>2.1097307692307692</v>
      </c>
      <c r="J193" s="2">
        <f t="shared" si="11"/>
        <v>0</v>
      </c>
    </row>
    <row r="194" spans="1:10" x14ac:dyDescent="0.3">
      <c r="A194">
        <v>1000017190</v>
      </c>
      <c r="B194" s="1">
        <f>VLOOKUP(A194,[1]Sheet1!A:B,2,FALSE)</f>
        <v>40555</v>
      </c>
      <c r="C194" s="2">
        <v>0</v>
      </c>
      <c r="D194" s="2">
        <f>SUMIFS([1]Sheet1!D:D,[1]Sheet1!A:A,A194,[1]Sheet1!E:E,"Figurado")</f>
        <v>950.5</v>
      </c>
      <c r="E194" s="2">
        <f>SUMIFS([1]Sheet1!D:D,[1]Sheet1!A:A,A194,[1]Sheet1!E:E,"Mallas")</f>
        <v>0</v>
      </c>
      <c r="F194" s="2">
        <f>SUMIFS([1]Sheet1!D:D,[1]Sheet1!A:A,A194,[1]Sheet1!E:E,"Materia Prima")</f>
        <v>0</v>
      </c>
      <c r="G194" s="2">
        <f t="shared" si="8"/>
        <v>0.36557692307692308</v>
      </c>
      <c r="H194">
        <f t="shared" si="9"/>
        <v>1</v>
      </c>
      <c r="I194" s="2">
        <f t="shared" si="10"/>
        <v>0.36557692307692308</v>
      </c>
      <c r="J194" s="2">
        <f t="shared" si="11"/>
        <v>0</v>
      </c>
    </row>
    <row r="195" spans="1:10" x14ac:dyDescent="0.3">
      <c r="A195">
        <v>1000017196</v>
      </c>
      <c r="B195" s="1">
        <f>VLOOKUP(A195,[1]Sheet1!A:B,2,FALSE)</f>
        <v>40556</v>
      </c>
      <c r="C195" s="2">
        <v>0</v>
      </c>
      <c r="D195" s="2">
        <f>SUMIFS([1]Sheet1!D:D,[1]Sheet1!A:A,A195,[1]Sheet1!E:E,"Figurado")</f>
        <v>7103.4</v>
      </c>
      <c r="E195" s="2">
        <f>SUMIFS([1]Sheet1!D:D,[1]Sheet1!A:A,A195,[1]Sheet1!E:E,"Mallas")</f>
        <v>0</v>
      </c>
      <c r="F195" s="2">
        <f>SUMIFS([1]Sheet1!D:D,[1]Sheet1!A:A,A195,[1]Sheet1!E:E,"Materia Prima")</f>
        <v>0</v>
      </c>
      <c r="G195" s="2">
        <f t="shared" ref="G195:G258" si="12">(D195/2600)+(E195/800)</f>
        <v>2.7320769230769231</v>
      </c>
      <c r="H195">
        <f t="shared" ref="H195:H258" si="13">(IF(D195&gt;0,1,0) + IF(E195&gt;0,1,0) + IF(F195&gt;0,1,0))</f>
        <v>1</v>
      </c>
      <c r="I195" s="2">
        <f t="shared" ref="I195:I258" si="14">D195/2600</f>
        <v>2.7320769230769231</v>
      </c>
      <c r="J195" s="2">
        <f t="shared" ref="J195:J258" si="15">E195/800</f>
        <v>0</v>
      </c>
    </row>
    <row r="196" spans="1:10" x14ac:dyDescent="0.3">
      <c r="A196">
        <v>1000017202</v>
      </c>
      <c r="B196" s="1">
        <f>VLOOKUP(A196,[1]Sheet1!A:B,2,FALSE)</f>
        <v>40556</v>
      </c>
      <c r="C196" s="2">
        <v>0</v>
      </c>
      <c r="D196" s="2">
        <f>SUMIFS([1]Sheet1!D:D,[1]Sheet1!A:A,A196,[1]Sheet1!E:E,"Figurado")</f>
        <v>2326.1</v>
      </c>
      <c r="E196" s="2">
        <f>SUMIFS([1]Sheet1!D:D,[1]Sheet1!A:A,A196,[1]Sheet1!E:E,"Mallas")</f>
        <v>0</v>
      </c>
      <c r="F196" s="2">
        <f>SUMIFS([1]Sheet1!D:D,[1]Sheet1!A:A,A196,[1]Sheet1!E:E,"Materia Prima")</f>
        <v>0</v>
      </c>
      <c r="G196" s="2">
        <f t="shared" si="12"/>
        <v>0.89465384615384613</v>
      </c>
      <c r="H196">
        <f t="shared" si="13"/>
        <v>1</v>
      </c>
      <c r="I196" s="2">
        <f t="shared" si="14"/>
        <v>0.89465384615384613</v>
      </c>
      <c r="J196" s="2">
        <f t="shared" si="15"/>
        <v>0</v>
      </c>
    </row>
    <row r="197" spans="1:10" x14ac:dyDescent="0.3">
      <c r="A197">
        <v>1000017091</v>
      </c>
      <c r="B197" s="1">
        <f>VLOOKUP(A197,[1]Sheet1!A:B,2,FALSE)</f>
        <v>40549</v>
      </c>
      <c r="C197" s="2">
        <v>0</v>
      </c>
      <c r="D197" s="2">
        <f>SUMIFS([1]Sheet1!D:D,[1]Sheet1!A:A,A197,[1]Sheet1!E:E,"Figurado")</f>
        <v>1828</v>
      </c>
      <c r="E197" s="2">
        <f>SUMIFS([1]Sheet1!D:D,[1]Sheet1!A:A,A197,[1]Sheet1!E:E,"Mallas")</f>
        <v>0</v>
      </c>
      <c r="F197" s="2">
        <f>SUMIFS([1]Sheet1!D:D,[1]Sheet1!A:A,A197,[1]Sheet1!E:E,"Materia Prima")</f>
        <v>0</v>
      </c>
      <c r="G197" s="2">
        <f t="shared" si="12"/>
        <v>0.70307692307692304</v>
      </c>
      <c r="H197">
        <f t="shared" si="13"/>
        <v>1</v>
      </c>
      <c r="I197" s="2">
        <f t="shared" si="14"/>
        <v>0.70307692307692304</v>
      </c>
      <c r="J197" s="2">
        <f t="shared" si="15"/>
        <v>0</v>
      </c>
    </row>
    <row r="198" spans="1:10" x14ac:dyDescent="0.3">
      <c r="A198">
        <v>1000017092</v>
      </c>
      <c r="B198" s="1">
        <f>VLOOKUP(A198,[1]Sheet1!A:B,2,FALSE)</f>
        <v>40549</v>
      </c>
      <c r="C198" s="2">
        <v>0</v>
      </c>
      <c r="D198" s="2">
        <f>SUMIFS([1]Sheet1!D:D,[1]Sheet1!A:A,A198,[1]Sheet1!E:E,"Figurado")</f>
        <v>59.1</v>
      </c>
      <c r="E198" s="2">
        <f>SUMIFS([1]Sheet1!D:D,[1]Sheet1!A:A,A198,[1]Sheet1!E:E,"Mallas")</f>
        <v>0</v>
      </c>
      <c r="F198" s="2">
        <f>SUMIFS([1]Sheet1!D:D,[1]Sheet1!A:A,A198,[1]Sheet1!E:E,"Materia Prima")</f>
        <v>0</v>
      </c>
      <c r="G198" s="2">
        <f t="shared" si="12"/>
        <v>2.2730769230769231E-2</v>
      </c>
      <c r="H198">
        <f t="shared" si="13"/>
        <v>1</v>
      </c>
      <c r="I198" s="2">
        <f t="shared" si="14"/>
        <v>2.2730769230769231E-2</v>
      </c>
      <c r="J198" s="2">
        <f t="shared" si="15"/>
        <v>0</v>
      </c>
    </row>
    <row r="199" spans="1:10" x14ac:dyDescent="0.3">
      <c r="A199">
        <v>1000017093</v>
      </c>
      <c r="B199" s="1">
        <f>VLOOKUP(A199,[1]Sheet1!A:B,2,FALSE)</f>
        <v>40549</v>
      </c>
      <c r="C199" s="2">
        <v>0</v>
      </c>
      <c r="D199" s="2">
        <f>SUMIFS([1]Sheet1!D:D,[1]Sheet1!A:A,A199,[1]Sheet1!E:E,"Figurado")</f>
        <v>0</v>
      </c>
      <c r="E199" s="2">
        <f>SUMIFS([1]Sheet1!D:D,[1]Sheet1!A:A,A199,[1]Sheet1!E:E,"Mallas")</f>
        <v>0</v>
      </c>
      <c r="F199" s="2">
        <f>SUMIFS([1]Sheet1!D:D,[1]Sheet1!A:A,A199,[1]Sheet1!E:E,"Materia Prima")</f>
        <v>360</v>
      </c>
      <c r="G199" s="2">
        <f t="shared" si="12"/>
        <v>0</v>
      </c>
      <c r="H199">
        <f t="shared" si="13"/>
        <v>1</v>
      </c>
      <c r="I199" s="2">
        <f t="shared" si="14"/>
        <v>0</v>
      </c>
      <c r="J199" s="2">
        <f t="shared" si="15"/>
        <v>0</v>
      </c>
    </row>
    <row r="200" spans="1:10" x14ac:dyDescent="0.3">
      <c r="A200">
        <v>1000017094</v>
      </c>
      <c r="B200" s="1">
        <f>VLOOKUP(A200,[1]Sheet1!A:B,2,FALSE)</f>
        <v>40549</v>
      </c>
      <c r="C200" s="2">
        <v>0</v>
      </c>
      <c r="D200" s="2">
        <f>SUMIFS([1]Sheet1!D:D,[1]Sheet1!A:A,A200,[1]Sheet1!E:E,"Figurado")</f>
        <v>1544</v>
      </c>
      <c r="E200" s="2">
        <f>SUMIFS([1]Sheet1!D:D,[1]Sheet1!A:A,A200,[1]Sheet1!E:E,"Mallas")</f>
        <v>0</v>
      </c>
      <c r="F200" s="2">
        <f>SUMIFS([1]Sheet1!D:D,[1]Sheet1!A:A,A200,[1]Sheet1!E:E,"Materia Prima")</f>
        <v>0</v>
      </c>
      <c r="G200" s="2">
        <f t="shared" si="12"/>
        <v>0.5938461538461538</v>
      </c>
      <c r="H200">
        <f t="shared" si="13"/>
        <v>1</v>
      </c>
      <c r="I200" s="2">
        <f t="shared" si="14"/>
        <v>0.5938461538461538</v>
      </c>
      <c r="J200" s="2">
        <f t="shared" si="15"/>
        <v>0</v>
      </c>
    </row>
    <row r="201" spans="1:10" x14ac:dyDescent="0.3">
      <c r="A201">
        <v>1000017095</v>
      </c>
      <c r="B201" s="1">
        <f>VLOOKUP(A201,[1]Sheet1!A:B,2,FALSE)</f>
        <v>40549</v>
      </c>
      <c r="C201" s="2">
        <v>0</v>
      </c>
      <c r="D201" s="2">
        <f>SUMIFS([1]Sheet1!D:D,[1]Sheet1!A:A,A201,[1]Sheet1!E:E,"Figurado")</f>
        <v>811.3</v>
      </c>
      <c r="E201" s="2">
        <f>SUMIFS([1]Sheet1!D:D,[1]Sheet1!A:A,A201,[1]Sheet1!E:E,"Mallas")</f>
        <v>0</v>
      </c>
      <c r="F201" s="2">
        <f>SUMIFS([1]Sheet1!D:D,[1]Sheet1!A:A,A201,[1]Sheet1!E:E,"Materia Prima")</f>
        <v>0</v>
      </c>
      <c r="G201" s="2">
        <f t="shared" si="12"/>
        <v>0.31203846153846154</v>
      </c>
      <c r="H201">
        <f t="shared" si="13"/>
        <v>1</v>
      </c>
      <c r="I201" s="2">
        <f t="shared" si="14"/>
        <v>0.31203846153846154</v>
      </c>
      <c r="J201" s="2">
        <f t="shared" si="15"/>
        <v>0</v>
      </c>
    </row>
    <row r="202" spans="1:10" x14ac:dyDescent="0.3">
      <c r="A202">
        <v>1000017096</v>
      </c>
      <c r="B202" s="1">
        <f>VLOOKUP(A202,[1]Sheet1!A:B,2,FALSE)</f>
        <v>40549</v>
      </c>
      <c r="C202" s="2">
        <v>0</v>
      </c>
      <c r="D202" s="2">
        <f>SUMIFS([1]Sheet1!D:D,[1]Sheet1!A:A,A202,[1]Sheet1!E:E,"Figurado")</f>
        <v>1663.3999999999999</v>
      </c>
      <c r="E202" s="2">
        <f>SUMIFS([1]Sheet1!D:D,[1]Sheet1!A:A,A202,[1]Sheet1!E:E,"Mallas")</f>
        <v>0</v>
      </c>
      <c r="F202" s="2">
        <f>SUMIFS([1]Sheet1!D:D,[1]Sheet1!A:A,A202,[1]Sheet1!E:E,"Materia Prima")</f>
        <v>0</v>
      </c>
      <c r="G202" s="2">
        <f>(D202/2600)+(E202/800)</f>
        <v>0.63976923076923076</v>
      </c>
      <c r="H202">
        <f t="shared" si="13"/>
        <v>1</v>
      </c>
      <c r="I202" s="2">
        <f t="shared" si="14"/>
        <v>0.63976923076923076</v>
      </c>
      <c r="J202" s="2">
        <f t="shared" si="15"/>
        <v>0</v>
      </c>
    </row>
    <row r="203" spans="1:10" x14ac:dyDescent="0.3">
      <c r="A203">
        <v>1000017184</v>
      </c>
      <c r="B203" s="1">
        <f>VLOOKUP(A203,[1]Sheet1!A:B,2,FALSE)</f>
        <v>40555</v>
      </c>
      <c r="C203" s="2">
        <v>0</v>
      </c>
      <c r="D203" s="2">
        <f>SUMIFS([1]Sheet1!D:D,[1]Sheet1!A:A,A203,[1]Sheet1!E:E,"Figurado")</f>
        <v>50.4</v>
      </c>
      <c r="E203" s="2">
        <f>SUMIFS([1]Sheet1!D:D,[1]Sheet1!A:A,A203,[1]Sheet1!E:E,"Mallas")</f>
        <v>0</v>
      </c>
      <c r="F203" s="2">
        <f>SUMIFS([1]Sheet1!D:D,[1]Sheet1!A:A,A203,[1]Sheet1!E:E,"Materia Prima")</f>
        <v>0</v>
      </c>
      <c r="G203" s="2">
        <f t="shared" si="12"/>
        <v>1.9384615384615386E-2</v>
      </c>
      <c r="H203">
        <f t="shared" si="13"/>
        <v>1</v>
      </c>
      <c r="I203" s="2">
        <f t="shared" si="14"/>
        <v>1.9384615384615386E-2</v>
      </c>
      <c r="J203" s="2">
        <f t="shared" si="15"/>
        <v>0</v>
      </c>
    </row>
    <row r="204" spans="1:10" x14ac:dyDescent="0.3">
      <c r="A204">
        <v>1000017185</v>
      </c>
      <c r="B204" s="1">
        <f>VLOOKUP(A204,[1]Sheet1!A:B,2,FALSE)</f>
        <v>40555</v>
      </c>
      <c r="C204" s="2">
        <v>0</v>
      </c>
      <c r="D204" s="2">
        <f>SUMIFS([1]Sheet1!D:D,[1]Sheet1!A:A,A204,[1]Sheet1!E:E,"Figurado")</f>
        <v>11.4</v>
      </c>
      <c r="E204" s="2">
        <f>SUMIFS([1]Sheet1!D:D,[1]Sheet1!A:A,A204,[1]Sheet1!E:E,"Mallas")</f>
        <v>0</v>
      </c>
      <c r="F204" s="2">
        <f>SUMIFS([1]Sheet1!D:D,[1]Sheet1!A:A,A204,[1]Sheet1!E:E,"Materia Prima")</f>
        <v>0</v>
      </c>
      <c r="G204" s="2">
        <f t="shared" si="12"/>
        <v>4.3846153846153844E-3</v>
      </c>
      <c r="H204">
        <f t="shared" si="13"/>
        <v>1</v>
      </c>
      <c r="I204" s="2">
        <f t="shared" si="14"/>
        <v>4.3846153846153844E-3</v>
      </c>
      <c r="J204" s="2">
        <f t="shared" si="15"/>
        <v>0</v>
      </c>
    </row>
    <row r="205" spans="1:10" x14ac:dyDescent="0.3">
      <c r="A205">
        <v>1000017186</v>
      </c>
      <c r="B205" s="1">
        <f>VLOOKUP(A205,[1]Sheet1!A:B,2,FALSE)</f>
        <v>40555</v>
      </c>
      <c r="C205" s="2">
        <v>0</v>
      </c>
      <c r="D205" s="2">
        <f>SUMIFS([1]Sheet1!D:D,[1]Sheet1!A:A,A205,[1]Sheet1!E:E,"Figurado")</f>
        <v>243.5</v>
      </c>
      <c r="E205" s="2">
        <f>SUMIFS([1]Sheet1!D:D,[1]Sheet1!A:A,A205,[1]Sheet1!E:E,"Mallas")</f>
        <v>0</v>
      </c>
      <c r="F205" s="2">
        <f>SUMIFS([1]Sheet1!D:D,[1]Sheet1!A:A,A205,[1]Sheet1!E:E,"Materia Prima")</f>
        <v>0</v>
      </c>
      <c r="G205" s="2">
        <f t="shared" si="12"/>
        <v>9.3653846153846157E-2</v>
      </c>
      <c r="H205">
        <f t="shared" si="13"/>
        <v>1</v>
      </c>
      <c r="I205" s="2">
        <f t="shared" si="14"/>
        <v>9.3653846153846157E-2</v>
      </c>
      <c r="J205" s="2">
        <f t="shared" si="15"/>
        <v>0</v>
      </c>
    </row>
    <row r="206" spans="1:10" x14ac:dyDescent="0.3">
      <c r="A206">
        <v>1000017195</v>
      </c>
      <c r="B206" s="1">
        <f>VLOOKUP(A206,[1]Sheet1!A:B,2,FALSE)</f>
        <v>40556</v>
      </c>
      <c r="C206" s="2">
        <v>0</v>
      </c>
      <c r="D206" s="2">
        <f>SUMIFS([1]Sheet1!D:D,[1]Sheet1!A:A,A206,[1]Sheet1!E:E,"Figurado")</f>
        <v>0</v>
      </c>
      <c r="E206" s="2">
        <f>SUMIFS([1]Sheet1!D:D,[1]Sheet1!A:A,A206,[1]Sheet1!E:E,"Mallas")</f>
        <v>2008.6799999999998</v>
      </c>
      <c r="F206" s="2">
        <f>SUMIFS([1]Sheet1!D:D,[1]Sheet1!A:A,A206,[1]Sheet1!E:E,"Materia Prima")</f>
        <v>45.341999999999999</v>
      </c>
      <c r="G206" s="2">
        <f t="shared" si="12"/>
        <v>2.5108499999999996</v>
      </c>
      <c r="H206">
        <f t="shared" si="13"/>
        <v>2</v>
      </c>
      <c r="I206" s="2">
        <f t="shared" si="14"/>
        <v>0</v>
      </c>
      <c r="J206" s="2">
        <f t="shared" si="15"/>
        <v>2.5108499999999996</v>
      </c>
    </row>
    <row r="207" spans="1:10" x14ac:dyDescent="0.3">
      <c r="A207">
        <v>1000017197</v>
      </c>
      <c r="B207" s="1">
        <f>VLOOKUP(A207,[1]Sheet1!A:B,2,FALSE)</f>
        <v>40556</v>
      </c>
      <c r="C207" s="2">
        <v>0</v>
      </c>
      <c r="D207" s="2">
        <f>SUMIFS([1]Sheet1!D:D,[1]Sheet1!A:A,A207,[1]Sheet1!E:E,"Figurado")</f>
        <v>0</v>
      </c>
      <c r="E207" s="2">
        <f>SUMIFS([1]Sheet1!D:D,[1]Sheet1!A:A,A207,[1]Sheet1!E:E,"Mallas")</f>
        <v>0</v>
      </c>
      <c r="F207" s="2">
        <f>SUMIFS([1]Sheet1!D:D,[1]Sheet1!A:A,A207,[1]Sheet1!E:E,"Materia Prima")</f>
        <v>13.8825</v>
      </c>
      <c r="G207" s="2">
        <f t="shared" si="12"/>
        <v>0</v>
      </c>
      <c r="H207">
        <f t="shared" si="13"/>
        <v>1</v>
      </c>
      <c r="I207" s="2">
        <f t="shared" si="14"/>
        <v>0</v>
      </c>
      <c r="J207" s="2">
        <f t="shared" si="15"/>
        <v>0</v>
      </c>
    </row>
    <row r="208" spans="1:10" x14ac:dyDescent="0.3">
      <c r="A208">
        <v>1000017198</v>
      </c>
      <c r="B208" s="1">
        <f>VLOOKUP(A208,[1]Sheet1!A:B,2,FALSE)</f>
        <v>40556</v>
      </c>
      <c r="C208" s="2">
        <v>0</v>
      </c>
      <c r="D208" s="2">
        <f>SUMIFS([1]Sheet1!D:D,[1]Sheet1!A:A,A208,[1]Sheet1!E:E,"Figurado")</f>
        <v>0</v>
      </c>
      <c r="E208" s="2">
        <f>SUMIFS([1]Sheet1!D:D,[1]Sheet1!A:A,A208,[1]Sheet1!E:E,"Mallas")</f>
        <v>0</v>
      </c>
      <c r="F208" s="2">
        <f>SUMIFS([1]Sheet1!D:D,[1]Sheet1!A:A,A208,[1]Sheet1!E:E,"Materia Prima")</f>
        <v>510</v>
      </c>
      <c r="G208" s="2">
        <f t="shared" si="12"/>
        <v>0</v>
      </c>
      <c r="H208">
        <f t="shared" si="13"/>
        <v>1</v>
      </c>
      <c r="I208" s="2">
        <f t="shared" si="14"/>
        <v>0</v>
      </c>
      <c r="J208" s="2">
        <f t="shared" si="15"/>
        <v>0</v>
      </c>
    </row>
    <row r="209" spans="1:10" x14ac:dyDescent="0.3">
      <c r="A209">
        <v>1000017208</v>
      </c>
      <c r="B209" s="1">
        <f>VLOOKUP(A209,[1]Sheet1!A:B,2,FALSE)</f>
        <v>40556</v>
      </c>
      <c r="C209" s="2">
        <v>0</v>
      </c>
      <c r="D209" s="2">
        <f>SUMIFS([1]Sheet1!D:D,[1]Sheet1!A:A,A209,[1]Sheet1!E:E,"Figurado")</f>
        <v>372</v>
      </c>
      <c r="E209" s="2">
        <f>SUMIFS([1]Sheet1!D:D,[1]Sheet1!A:A,A209,[1]Sheet1!E:E,"Mallas")</f>
        <v>0</v>
      </c>
      <c r="F209" s="2">
        <f>SUMIFS([1]Sheet1!D:D,[1]Sheet1!A:A,A209,[1]Sheet1!E:E,"Materia Prima")</f>
        <v>0</v>
      </c>
      <c r="G209" s="2">
        <f t="shared" si="12"/>
        <v>0.14307692307692307</v>
      </c>
      <c r="H209">
        <f t="shared" si="13"/>
        <v>1</v>
      </c>
      <c r="I209" s="2">
        <f t="shared" si="14"/>
        <v>0.14307692307692307</v>
      </c>
      <c r="J209" s="2">
        <f t="shared" si="15"/>
        <v>0</v>
      </c>
    </row>
    <row r="210" spans="1:10" x14ac:dyDescent="0.3">
      <c r="A210">
        <v>1000017209</v>
      </c>
      <c r="B210" s="1">
        <f>VLOOKUP(A210,[1]Sheet1!A:B,2,FALSE)</f>
        <v>40556</v>
      </c>
      <c r="C210" s="2">
        <v>0</v>
      </c>
      <c r="D210" s="2">
        <f>SUMIFS([1]Sheet1!D:D,[1]Sheet1!A:A,A210,[1]Sheet1!E:E,"Figurado")</f>
        <v>0</v>
      </c>
      <c r="E210" s="2">
        <f>SUMIFS([1]Sheet1!D:D,[1]Sheet1!A:A,A210,[1]Sheet1!E:E,"Mallas")</f>
        <v>0</v>
      </c>
      <c r="F210" s="2">
        <f>SUMIFS([1]Sheet1!D:D,[1]Sheet1!A:A,A210,[1]Sheet1!E:E,"Materia Prima")</f>
        <v>672</v>
      </c>
      <c r="G210" s="2">
        <f t="shared" si="12"/>
        <v>0</v>
      </c>
      <c r="H210">
        <f t="shared" si="13"/>
        <v>1</v>
      </c>
      <c r="I210" s="2">
        <f t="shared" si="14"/>
        <v>0</v>
      </c>
      <c r="J210" s="2">
        <f t="shared" si="15"/>
        <v>0</v>
      </c>
    </row>
    <row r="211" spans="1:10" x14ac:dyDescent="0.3">
      <c r="A211">
        <v>1000017210</v>
      </c>
      <c r="B211" s="1">
        <f>VLOOKUP(A211,[1]Sheet1!A:B,2,FALSE)</f>
        <v>40556</v>
      </c>
      <c r="C211" s="2">
        <v>0</v>
      </c>
      <c r="D211" s="2">
        <f>SUMIFS([1]Sheet1!D:D,[1]Sheet1!A:A,A211,[1]Sheet1!E:E,"Figurado")</f>
        <v>118.4</v>
      </c>
      <c r="E211" s="2">
        <f>SUMIFS([1]Sheet1!D:D,[1]Sheet1!A:A,A211,[1]Sheet1!E:E,"Mallas")</f>
        <v>0</v>
      </c>
      <c r="F211" s="2">
        <f>SUMIFS([1]Sheet1!D:D,[1]Sheet1!A:A,A211,[1]Sheet1!E:E,"Materia Prima")</f>
        <v>0</v>
      </c>
      <c r="G211" s="2">
        <f t="shared" si="12"/>
        <v>4.5538461538461542E-2</v>
      </c>
      <c r="H211">
        <f t="shared" si="13"/>
        <v>1</v>
      </c>
      <c r="I211" s="2">
        <f t="shared" si="14"/>
        <v>4.5538461538461542E-2</v>
      </c>
      <c r="J211" s="2">
        <f t="shared" si="15"/>
        <v>0</v>
      </c>
    </row>
    <row r="212" spans="1:10" x14ac:dyDescent="0.3">
      <c r="A212">
        <v>1000017211</v>
      </c>
      <c r="B212" s="1">
        <f>VLOOKUP(A212,[1]Sheet1!A:B,2,FALSE)</f>
        <v>40556</v>
      </c>
      <c r="C212" s="2">
        <v>0</v>
      </c>
      <c r="D212" s="2">
        <f>SUMIFS([1]Sheet1!D:D,[1]Sheet1!A:A,A212,[1]Sheet1!E:E,"Figurado")</f>
        <v>93.4</v>
      </c>
      <c r="E212" s="2">
        <f>SUMIFS([1]Sheet1!D:D,[1]Sheet1!A:A,A212,[1]Sheet1!E:E,"Mallas")</f>
        <v>0</v>
      </c>
      <c r="F212" s="2">
        <f>SUMIFS([1]Sheet1!D:D,[1]Sheet1!A:A,A212,[1]Sheet1!E:E,"Materia Prima")</f>
        <v>0</v>
      </c>
      <c r="G212" s="2">
        <f t="shared" si="12"/>
        <v>3.5923076923076926E-2</v>
      </c>
      <c r="H212">
        <f t="shared" si="13"/>
        <v>1</v>
      </c>
      <c r="I212" s="2">
        <f t="shared" si="14"/>
        <v>3.5923076923076926E-2</v>
      </c>
      <c r="J212" s="2">
        <f t="shared" si="15"/>
        <v>0</v>
      </c>
    </row>
    <row r="213" spans="1:10" x14ac:dyDescent="0.3">
      <c r="A213">
        <v>1000017212</v>
      </c>
      <c r="B213" s="1">
        <f>VLOOKUP(A213,[1]Sheet1!A:B,2,FALSE)</f>
        <v>40556</v>
      </c>
      <c r="C213" s="2">
        <v>0</v>
      </c>
      <c r="D213" s="2">
        <f>SUMIFS([1]Sheet1!D:D,[1]Sheet1!A:A,A213,[1]Sheet1!E:E,"Figurado")</f>
        <v>954.2</v>
      </c>
      <c r="E213" s="2">
        <f>SUMIFS([1]Sheet1!D:D,[1]Sheet1!A:A,A213,[1]Sheet1!E:E,"Mallas")</f>
        <v>0</v>
      </c>
      <c r="F213" s="2">
        <f>SUMIFS([1]Sheet1!D:D,[1]Sheet1!A:A,A213,[1]Sheet1!E:E,"Materia Prima")</f>
        <v>0</v>
      </c>
      <c r="G213" s="2">
        <f t="shared" si="12"/>
        <v>0.36699999999999999</v>
      </c>
      <c r="H213">
        <f t="shared" si="13"/>
        <v>1</v>
      </c>
      <c r="I213" s="2">
        <f t="shared" si="14"/>
        <v>0.36699999999999999</v>
      </c>
      <c r="J213" s="2">
        <f t="shared" si="15"/>
        <v>0</v>
      </c>
    </row>
    <row r="214" spans="1:10" x14ac:dyDescent="0.3">
      <c r="A214">
        <v>1000017213</v>
      </c>
      <c r="B214" s="1">
        <f>VLOOKUP(A214,[1]Sheet1!A:B,2,FALSE)</f>
        <v>40556</v>
      </c>
      <c r="C214" s="2">
        <v>0</v>
      </c>
      <c r="D214" s="2">
        <f>SUMIFS([1]Sheet1!D:D,[1]Sheet1!A:A,A214,[1]Sheet1!E:E,"Figurado")</f>
        <v>112</v>
      </c>
      <c r="E214" s="2">
        <f>SUMIFS([1]Sheet1!D:D,[1]Sheet1!A:A,A214,[1]Sheet1!E:E,"Mallas")</f>
        <v>0</v>
      </c>
      <c r="F214" s="2">
        <f>SUMIFS([1]Sheet1!D:D,[1]Sheet1!A:A,A214,[1]Sheet1!E:E,"Materia Prima")</f>
        <v>0</v>
      </c>
      <c r="G214" s="2">
        <f t="shared" si="12"/>
        <v>4.3076923076923075E-2</v>
      </c>
      <c r="H214">
        <f t="shared" si="13"/>
        <v>1</v>
      </c>
      <c r="I214" s="2">
        <f t="shared" si="14"/>
        <v>4.3076923076923075E-2</v>
      </c>
      <c r="J214" s="2">
        <f t="shared" si="15"/>
        <v>0</v>
      </c>
    </row>
    <row r="215" spans="1:10" x14ac:dyDescent="0.3">
      <c r="A215">
        <v>1000017214</v>
      </c>
      <c r="B215" s="1">
        <f>VLOOKUP(A215,[1]Sheet1!A:B,2,FALSE)</f>
        <v>40556</v>
      </c>
      <c r="C215" s="2">
        <v>0</v>
      </c>
      <c r="D215" s="2">
        <f>SUMIFS([1]Sheet1!D:D,[1]Sheet1!A:A,A215,[1]Sheet1!E:E,"Figurado")</f>
        <v>163.69999999999999</v>
      </c>
      <c r="E215" s="2">
        <f>SUMIFS([1]Sheet1!D:D,[1]Sheet1!A:A,A215,[1]Sheet1!E:E,"Mallas")</f>
        <v>0</v>
      </c>
      <c r="F215" s="2">
        <f>SUMIFS([1]Sheet1!D:D,[1]Sheet1!A:A,A215,[1]Sheet1!E:E,"Materia Prima")</f>
        <v>387.4</v>
      </c>
      <c r="G215" s="2">
        <f t="shared" si="12"/>
        <v>6.2961538461538458E-2</v>
      </c>
      <c r="H215">
        <f t="shared" si="13"/>
        <v>2</v>
      </c>
      <c r="I215" s="2">
        <f t="shared" si="14"/>
        <v>6.2961538461538458E-2</v>
      </c>
      <c r="J215" s="2">
        <f t="shared" si="15"/>
        <v>0</v>
      </c>
    </row>
    <row r="216" spans="1:10" x14ac:dyDescent="0.3">
      <c r="A216">
        <v>1000017215</v>
      </c>
      <c r="B216" s="1">
        <f>VLOOKUP(A216,[1]Sheet1!A:B,2,FALSE)</f>
        <v>40556</v>
      </c>
      <c r="C216" s="2">
        <v>0</v>
      </c>
      <c r="D216" s="2">
        <f>SUMIFS([1]Sheet1!D:D,[1]Sheet1!A:A,A216,[1]Sheet1!E:E,"Figurado")</f>
        <v>861</v>
      </c>
      <c r="E216" s="2">
        <f>SUMIFS([1]Sheet1!D:D,[1]Sheet1!A:A,A216,[1]Sheet1!E:E,"Mallas")</f>
        <v>0</v>
      </c>
      <c r="F216" s="2">
        <f>SUMIFS([1]Sheet1!D:D,[1]Sheet1!A:A,A216,[1]Sheet1!E:E,"Materia Prima")</f>
        <v>268.8</v>
      </c>
      <c r="G216" s="2">
        <f t="shared" si="12"/>
        <v>0.33115384615384613</v>
      </c>
      <c r="H216">
        <f t="shared" si="13"/>
        <v>2</v>
      </c>
      <c r="I216" s="2">
        <f t="shared" si="14"/>
        <v>0.33115384615384613</v>
      </c>
      <c r="J216" s="2">
        <f t="shared" si="15"/>
        <v>0</v>
      </c>
    </row>
    <row r="217" spans="1:10" x14ac:dyDescent="0.3">
      <c r="A217">
        <v>1000017216</v>
      </c>
      <c r="B217" s="1">
        <f>VLOOKUP(A217,[1]Sheet1!A:B,2,FALSE)</f>
        <v>40556</v>
      </c>
      <c r="C217" s="2">
        <v>0</v>
      </c>
      <c r="D217" s="2">
        <f>SUMIFS([1]Sheet1!D:D,[1]Sheet1!A:A,A217,[1]Sheet1!E:E,"Figurado")</f>
        <v>0</v>
      </c>
      <c r="E217" s="2">
        <f>SUMIFS([1]Sheet1!D:D,[1]Sheet1!A:A,A217,[1]Sheet1!E:E,"Mallas")</f>
        <v>0</v>
      </c>
      <c r="F217" s="2">
        <f>SUMIFS([1]Sheet1!D:D,[1]Sheet1!A:A,A217,[1]Sheet1!E:E,"Materia Prima")</f>
        <v>360</v>
      </c>
      <c r="G217" s="2">
        <f t="shared" si="12"/>
        <v>0</v>
      </c>
      <c r="H217">
        <f t="shared" si="13"/>
        <v>1</v>
      </c>
      <c r="I217" s="2">
        <f t="shared" si="14"/>
        <v>0</v>
      </c>
      <c r="J217" s="2">
        <f t="shared" si="15"/>
        <v>0</v>
      </c>
    </row>
    <row r="218" spans="1:10" x14ac:dyDescent="0.3">
      <c r="A218">
        <v>1000017217</v>
      </c>
      <c r="B218" s="1">
        <f>VLOOKUP(A218,[1]Sheet1!A:B,2,FALSE)</f>
        <v>40556</v>
      </c>
      <c r="C218" s="2">
        <v>0</v>
      </c>
      <c r="D218" s="2">
        <f>SUMIFS([1]Sheet1!D:D,[1]Sheet1!A:A,A218,[1]Sheet1!E:E,"Figurado")</f>
        <v>0</v>
      </c>
      <c r="E218" s="2">
        <f>SUMIFS([1]Sheet1!D:D,[1]Sheet1!A:A,A218,[1]Sheet1!E:E,"Mallas")</f>
        <v>0</v>
      </c>
      <c r="F218" s="2">
        <f>SUMIFS([1]Sheet1!D:D,[1]Sheet1!A:A,A218,[1]Sheet1!E:E,"Materia Prima")</f>
        <v>561.6</v>
      </c>
      <c r="G218" s="2">
        <f t="shared" si="12"/>
        <v>0</v>
      </c>
      <c r="H218">
        <f t="shared" si="13"/>
        <v>1</v>
      </c>
      <c r="I218" s="2">
        <f t="shared" si="14"/>
        <v>0</v>
      </c>
      <c r="J218" s="2">
        <f t="shared" si="15"/>
        <v>0</v>
      </c>
    </row>
    <row r="219" spans="1:10" x14ac:dyDescent="0.3">
      <c r="A219">
        <v>1000017218</v>
      </c>
      <c r="B219" s="1">
        <f>VLOOKUP(A219,[1]Sheet1!A:B,2,FALSE)</f>
        <v>40556</v>
      </c>
      <c r="C219" s="2">
        <v>0</v>
      </c>
      <c r="D219" s="2">
        <f>SUMIFS([1]Sheet1!D:D,[1]Sheet1!A:A,A219,[1]Sheet1!E:E,"Figurado")</f>
        <v>771</v>
      </c>
      <c r="E219" s="2">
        <f>SUMIFS([1]Sheet1!D:D,[1]Sheet1!A:A,A219,[1]Sheet1!E:E,"Mallas")</f>
        <v>0</v>
      </c>
      <c r="F219" s="2">
        <f>SUMIFS([1]Sheet1!D:D,[1]Sheet1!A:A,A219,[1]Sheet1!E:E,"Materia Prima")</f>
        <v>0</v>
      </c>
      <c r="G219" s="2">
        <f t="shared" si="12"/>
        <v>0.29653846153846153</v>
      </c>
      <c r="H219">
        <f t="shared" si="13"/>
        <v>1</v>
      </c>
      <c r="I219" s="2">
        <f t="shared" si="14"/>
        <v>0.29653846153846153</v>
      </c>
      <c r="J219" s="2">
        <f t="shared" si="15"/>
        <v>0</v>
      </c>
    </row>
    <row r="220" spans="1:10" x14ac:dyDescent="0.3">
      <c r="A220">
        <v>1000017223</v>
      </c>
      <c r="B220" s="1">
        <f>VLOOKUP(A220,[1]Sheet1!A:B,2,FALSE)</f>
        <v>40556</v>
      </c>
      <c r="C220" s="2">
        <v>0</v>
      </c>
      <c r="D220" s="2">
        <f>SUMIFS([1]Sheet1!D:D,[1]Sheet1!A:A,A220,[1]Sheet1!E:E,"Figurado")</f>
        <v>6506.6</v>
      </c>
      <c r="E220" s="2">
        <f>SUMIFS([1]Sheet1!D:D,[1]Sheet1!A:A,A220,[1]Sheet1!E:E,"Mallas")</f>
        <v>0</v>
      </c>
      <c r="F220" s="2">
        <f>SUMIFS([1]Sheet1!D:D,[1]Sheet1!A:A,A220,[1]Sheet1!E:E,"Materia Prima")</f>
        <v>1003.1999999999999</v>
      </c>
      <c r="G220" s="2">
        <f t="shared" si="12"/>
        <v>2.5025384615384616</v>
      </c>
      <c r="H220">
        <f t="shared" si="13"/>
        <v>2</v>
      </c>
      <c r="I220" s="2">
        <f t="shared" si="14"/>
        <v>2.5025384615384616</v>
      </c>
      <c r="J220" s="2">
        <f t="shared" si="15"/>
        <v>0</v>
      </c>
    </row>
    <row r="221" spans="1:10" x14ac:dyDescent="0.3">
      <c r="A221">
        <v>1000017224</v>
      </c>
      <c r="B221" s="1">
        <f>VLOOKUP(A221,[1]Sheet1!A:B,2,FALSE)</f>
        <v>40556</v>
      </c>
      <c r="C221" s="2">
        <v>0</v>
      </c>
      <c r="D221" s="2">
        <f>SUMIFS([1]Sheet1!D:D,[1]Sheet1!A:A,A221,[1]Sheet1!E:E,"Figurado")</f>
        <v>0</v>
      </c>
      <c r="E221" s="2">
        <f>SUMIFS([1]Sheet1!D:D,[1]Sheet1!A:A,A221,[1]Sheet1!E:E,"Mallas")</f>
        <v>12049.8</v>
      </c>
      <c r="F221" s="2">
        <f>SUMIFS([1]Sheet1!D:D,[1]Sheet1!A:A,A221,[1]Sheet1!E:E,"Materia Prima")</f>
        <v>0</v>
      </c>
      <c r="G221" s="2">
        <f t="shared" si="12"/>
        <v>15.062249999999999</v>
      </c>
      <c r="H221">
        <f t="shared" si="13"/>
        <v>1</v>
      </c>
      <c r="I221" s="2">
        <f t="shared" si="14"/>
        <v>0</v>
      </c>
      <c r="J221" s="2">
        <f t="shared" si="15"/>
        <v>15.062249999999999</v>
      </c>
    </row>
    <row r="222" spans="1:10" x14ac:dyDescent="0.3">
      <c r="A222">
        <v>1000017225</v>
      </c>
      <c r="B222" s="1">
        <f>VLOOKUP(A222,[1]Sheet1!A:B,2,FALSE)</f>
        <v>40556</v>
      </c>
      <c r="C222" s="2">
        <v>0</v>
      </c>
      <c r="D222" s="2">
        <f>SUMIFS([1]Sheet1!D:D,[1]Sheet1!A:A,A222,[1]Sheet1!E:E,"Figurado")</f>
        <v>0</v>
      </c>
      <c r="E222" s="2">
        <f>SUMIFS([1]Sheet1!D:D,[1]Sheet1!A:A,A222,[1]Sheet1!E:E,"Mallas")</f>
        <v>12049.8</v>
      </c>
      <c r="F222" s="2">
        <f>SUMIFS([1]Sheet1!D:D,[1]Sheet1!A:A,A222,[1]Sheet1!E:E,"Materia Prima")</f>
        <v>0</v>
      </c>
      <c r="G222" s="2">
        <f t="shared" si="12"/>
        <v>15.062249999999999</v>
      </c>
      <c r="H222">
        <f t="shared" si="13"/>
        <v>1</v>
      </c>
      <c r="I222" s="2">
        <f t="shared" si="14"/>
        <v>0</v>
      </c>
      <c r="J222" s="2">
        <f t="shared" si="15"/>
        <v>15.062249999999999</v>
      </c>
    </row>
    <row r="223" spans="1:10" x14ac:dyDescent="0.3">
      <c r="A223">
        <v>1000017226</v>
      </c>
      <c r="B223" s="1">
        <f>VLOOKUP(A223,[1]Sheet1!A:B,2,FALSE)</f>
        <v>40556</v>
      </c>
      <c r="C223" s="2">
        <v>0</v>
      </c>
      <c r="D223" s="2">
        <f>SUMIFS([1]Sheet1!D:D,[1]Sheet1!A:A,A223,[1]Sheet1!E:E,"Figurado")</f>
        <v>0</v>
      </c>
      <c r="E223" s="2">
        <f>SUMIFS([1]Sheet1!D:D,[1]Sheet1!A:A,A223,[1]Sheet1!E:E,"Mallas")</f>
        <v>0</v>
      </c>
      <c r="F223" s="2">
        <f>SUMIFS([1]Sheet1!D:D,[1]Sheet1!A:A,A223,[1]Sheet1!E:E,"Materia Prima")</f>
        <v>29461.260000000002</v>
      </c>
      <c r="G223" s="2">
        <f t="shared" si="12"/>
        <v>0</v>
      </c>
      <c r="H223">
        <f t="shared" si="13"/>
        <v>1</v>
      </c>
      <c r="I223" s="2">
        <f t="shared" si="14"/>
        <v>0</v>
      </c>
      <c r="J223" s="2">
        <f t="shared" si="15"/>
        <v>0</v>
      </c>
    </row>
    <row r="224" spans="1:10" x14ac:dyDescent="0.3">
      <c r="A224">
        <v>1000017227</v>
      </c>
      <c r="B224" s="1">
        <f>VLOOKUP(A224,[1]Sheet1!A:B,2,FALSE)</f>
        <v>40556</v>
      </c>
      <c r="C224" s="2">
        <v>0</v>
      </c>
      <c r="D224" s="2">
        <f>SUMIFS([1]Sheet1!D:D,[1]Sheet1!A:A,A224,[1]Sheet1!E:E,"Figurado")</f>
        <v>0</v>
      </c>
      <c r="E224" s="2">
        <f>SUMIFS([1]Sheet1!D:D,[1]Sheet1!A:A,A224,[1]Sheet1!E:E,"Mallas")</f>
        <v>0</v>
      </c>
      <c r="F224" s="2">
        <f>SUMIFS([1]Sheet1!D:D,[1]Sheet1!A:A,A224,[1]Sheet1!E:E,"Materia Prima")</f>
        <v>1998.21</v>
      </c>
      <c r="G224" s="2">
        <f t="shared" si="12"/>
        <v>0</v>
      </c>
      <c r="H224">
        <f t="shared" si="13"/>
        <v>1</v>
      </c>
      <c r="I224" s="2">
        <f t="shared" si="14"/>
        <v>0</v>
      </c>
      <c r="J224" s="2">
        <f t="shared" si="15"/>
        <v>0</v>
      </c>
    </row>
    <row r="225" spans="1:10" x14ac:dyDescent="0.3">
      <c r="A225">
        <v>1000017228</v>
      </c>
      <c r="B225" s="1">
        <f>VLOOKUP(A225,[1]Sheet1!A:B,2,FALSE)</f>
        <v>40556</v>
      </c>
      <c r="C225" s="2">
        <v>0</v>
      </c>
      <c r="D225" s="2">
        <f>SUMIFS([1]Sheet1!D:D,[1]Sheet1!A:A,A225,[1]Sheet1!E:E,"Figurado")</f>
        <v>12019.2</v>
      </c>
      <c r="E225" s="2">
        <f>SUMIFS([1]Sheet1!D:D,[1]Sheet1!A:A,A225,[1]Sheet1!E:E,"Mallas")</f>
        <v>0</v>
      </c>
      <c r="F225" s="2">
        <f>SUMIFS([1]Sheet1!D:D,[1]Sheet1!A:A,A225,[1]Sheet1!E:E,"Materia Prima")</f>
        <v>0</v>
      </c>
      <c r="G225" s="2">
        <f t="shared" si="12"/>
        <v>4.6227692307692312</v>
      </c>
      <c r="H225">
        <f t="shared" si="13"/>
        <v>1</v>
      </c>
      <c r="I225" s="2">
        <f t="shared" si="14"/>
        <v>4.6227692307692312</v>
      </c>
      <c r="J225" s="2">
        <f t="shared" si="15"/>
        <v>0</v>
      </c>
    </row>
    <row r="226" spans="1:10" x14ac:dyDescent="0.3">
      <c r="A226">
        <v>1000017230</v>
      </c>
      <c r="B226" s="1">
        <f>VLOOKUP(A226,[1]Sheet1!A:B,2,FALSE)</f>
        <v>40556</v>
      </c>
      <c r="C226" s="2">
        <v>0</v>
      </c>
      <c r="D226" s="2">
        <f>SUMIFS([1]Sheet1!D:D,[1]Sheet1!A:A,A226,[1]Sheet1!E:E,"Figurado")</f>
        <v>887.2</v>
      </c>
      <c r="E226" s="2">
        <f>SUMIFS([1]Sheet1!D:D,[1]Sheet1!A:A,A226,[1]Sheet1!E:E,"Mallas")</f>
        <v>0</v>
      </c>
      <c r="F226" s="2">
        <f>SUMIFS([1]Sheet1!D:D,[1]Sheet1!A:A,A226,[1]Sheet1!E:E,"Materia Prima")</f>
        <v>0</v>
      </c>
      <c r="G226" s="2">
        <f t="shared" si="12"/>
        <v>0.34123076923076923</v>
      </c>
      <c r="H226">
        <f t="shared" si="13"/>
        <v>1</v>
      </c>
      <c r="I226" s="2">
        <f t="shared" si="14"/>
        <v>0.34123076923076923</v>
      </c>
      <c r="J226" s="2">
        <f t="shared" si="15"/>
        <v>0</v>
      </c>
    </row>
    <row r="227" spans="1:10" x14ac:dyDescent="0.3">
      <c r="A227">
        <v>1000017231</v>
      </c>
      <c r="B227" s="1">
        <f>VLOOKUP(A227,[1]Sheet1!A:B,2,FALSE)</f>
        <v>40556</v>
      </c>
      <c r="C227" s="2">
        <v>0</v>
      </c>
      <c r="D227" s="2">
        <f>SUMIFS([1]Sheet1!D:D,[1]Sheet1!A:A,A227,[1]Sheet1!E:E,"Figurado")</f>
        <v>4797</v>
      </c>
      <c r="E227" s="2">
        <f>SUMIFS([1]Sheet1!D:D,[1]Sheet1!A:A,A227,[1]Sheet1!E:E,"Mallas")</f>
        <v>0</v>
      </c>
      <c r="F227" s="2">
        <f>SUMIFS([1]Sheet1!D:D,[1]Sheet1!A:A,A227,[1]Sheet1!E:E,"Materia Prima")</f>
        <v>80.599999999999994</v>
      </c>
      <c r="G227" s="2">
        <f t="shared" si="12"/>
        <v>1.845</v>
      </c>
      <c r="H227">
        <f t="shared" si="13"/>
        <v>2</v>
      </c>
      <c r="I227" s="2">
        <f t="shared" si="14"/>
        <v>1.845</v>
      </c>
      <c r="J227" s="2">
        <f t="shared" si="15"/>
        <v>0</v>
      </c>
    </row>
    <row r="228" spans="1:10" x14ac:dyDescent="0.3">
      <c r="A228">
        <v>1000017234</v>
      </c>
      <c r="B228" s="1">
        <f>VLOOKUP(A228,[1]Sheet1!A:B,2,FALSE)</f>
        <v>40557</v>
      </c>
      <c r="C228" s="2">
        <v>0</v>
      </c>
      <c r="D228" s="2">
        <f>SUMIFS([1]Sheet1!D:D,[1]Sheet1!A:A,A228,[1]Sheet1!E:E,"Figurado")</f>
        <v>1572</v>
      </c>
      <c r="E228" s="2">
        <f>SUMIFS([1]Sheet1!D:D,[1]Sheet1!A:A,A228,[1]Sheet1!E:E,"Mallas")</f>
        <v>0</v>
      </c>
      <c r="F228" s="2">
        <f>SUMIFS([1]Sheet1!D:D,[1]Sheet1!A:A,A228,[1]Sheet1!E:E,"Materia Prima")</f>
        <v>2150.4</v>
      </c>
      <c r="G228" s="2">
        <f t="shared" si="12"/>
        <v>0.60461538461538467</v>
      </c>
      <c r="H228">
        <f t="shared" si="13"/>
        <v>2</v>
      </c>
      <c r="I228" s="2">
        <f t="shared" si="14"/>
        <v>0.60461538461538467</v>
      </c>
      <c r="J228" s="2">
        <f t="shared" si="15"/>
        <v>0</v>
      </c>
    </row>
    <row r="229" spans="1:10" x14ac:dyDescent="0.3">
      <c r="A229">
        <v>1000017235</v>
      </c>
      <c r="B229" s="1">
        <f>VLOOKUP(A229,[1]Sheet1!A:B,2,FALSE)</f>
        <v>40557</v>
      </c>
      <c r="C229" s="2">
        <v>0</v>
      </c>
      <c r="D229" s="2">
        <f>SUMIFS([1]Sheet1!D:D,[1]Sheet1!A:A,A229,[1]Sheet1!E:E,"Figurado")</f>
        <v>6704.3</v>
      </c>
      <c r="E229" s="2">
        <f>SUMIFS([1]Sheet1!D:D,[1]Sheet1!A:A,A229,[1]Sheet1!E:E,"Mallas")</f>
        <v>0</v>
      </c>
      <c r="F229" s="2">
        <f>SUMIFS([1]Sheet1!D:D,[1]Sheet1!A:A,A229,[1]Sheet1!E:E,"Materia Prima")</f>
        <v>0</v>
      </c>
      <c r="G229" s="2">
        <f t="shared" si="12"/>
        <v>2.5785769230769233</v>
      </c>
      <c r="H229">
        <f t="shared" si="13"/>
        <v>1</v>
      </c>
      <c r="I229" s="2">
        <f t="shared" si="14"/>
        <v>2.5785769230769233</v>
      </c>
      <c r="J229" s="2">
        <f t="shared" si="15"/>
        <v>0</v>
      </c>
    </row>
    <row r="230" spans="1:10" x14ac:dyDescent="0.3">
      <c r="A230">
        <v>1000017238</v>
      </c>
      <c r="B230" s="1">
        <f>VLOOKUP(A230,[1]Sheet1!A:B,2,FALSE)</f>
        <v>40557</v>
      </c>
      <c r="C230" s="2">
        <v>0</v>
      </c>
      <c r="D230" s="2">
        <f>SUMIFS([1]Sheet1!D:D,[1]Sheet1!A:A,A230,[1]Sheet1!E:E,"Figurado")</f>
        <v>0</v>
      </c>
      <c r="E230" s="2">
        <f>SUMIFS([1]Sheet1!D:D,[1]Sheet1!A:A,A230,[1]Sheet1!E:E,"Mallas")</f>
        <v>0</v>
      </c>
      <c r="F230" s="2">
        <f>SUMIFS([1]Sheet1!D:D,[1]Sheet1!A:A,A230,[1]Sheet1!E:E,"Materia Prima")</f>
        <v>500</v>
      </c>
      <c r="G230" s="2">
        <f t="shared" si="12"/>
        <v>0</v>
      </c>
      <c r="H230">
        <f t="shared" si="13"/>
        <v>1</v>
      </c>
      <c r="I230" s="2">
        <f t="shared" si="14"/>
        <v>0</v>
      </c>
      <c r="J230" s="2">
        <f t="shared" si="15"/>
        <v>0</v>
      </c>
    </row>
    <row r="231" spans="1:10" x14ac:dyDescent="0.3">
      <c r="A231">
        <v>1000017239</v>
      </c>
      <c r="B231" s="1">
        <f>VLOOKUP(A231,[1]Sheet1!A:B,2,FALSE)</f>
        <v>40557</v>
      </c>
      <c r="C231" s="2">
        <v>0</v>
      </c>
      <c r="D231" s="2">
        <f>SUMIFS([1]Sheet1!D:D,[1]Sheet1!A:A,A231,[1]Sheet1!E:E,"Figurado")</f>
        <v>5701</v>
      </c>
      <c r="E231" s="2">
        <f>SUMIFS([1]Sheet1!D:D,[1]Sheet1!A:A,A231,[1]Sheet1!E:E,"Mallas")</f>
        <v>0</v>
      </c>
      <c r="F231" s="2">
        <f>SUMIFS([1]Sheet1!D:D,[1]Sheet1!A:A,A231,[1]Sheet1!E:E,"Materia Prima")</f>
        <v>0</v>
      </c>
      <c r="G231" s="2">
        <f t="shared" si="12"/>
        <v>2.1926923076923077</v>
      </c>
      <c r="H231">
        <f t="shared" si="13"/>
        <v>1</v>
      </c>
      <c r="I231" s="2">
        <f t="shared" si="14"/>
        <v>2.1926923076923077</v>
      </c>
      <c r="J231" s="2">
        <f t="shared" si="15"/>
        <v>0</v>
      </c>
    </row>
    <row r="232" spans="1:10" x14ac:dyDescent="0.3">
      <c r="A232">
        <v>1000017240</v>
      </c>
      <c r="B232" s="1">
        <f>VLOOKUP(A232,[1]Sheet1!A:B,2,FALSE)</f>
        <v>40557</v>
      </c>
      <c r="C232" s="2">
        <v>0</v>
      </c>
      <c r="D232" s="2">
        <f>SUMIFS([1]Sheet1!D:D,[1]Sheet1!A:A,A232,[1]Sheet1!E:E,"Figurado")</f>
        <v>11128.8</v>
      </c>
      <c r="E232" s="2">
        <f>SUMIFS([1]Sheet1!D:D,[1]Sheet1!A:A,A232,[1]Sheet1!E:E,"Mallas")</f>
        <v>0</v>
      </c>
      <c r="F232" s="2">
        <f>SUMIFS([1]Sheet1!D:D,[1]Sheet1!A:A,A232,[1]Sheet1!E:E,"Materia Prima")</f>
        <v>0</v>
      </c>
      <c r="G232" s="2">
        <f t="shared" si="12"/>
        <v>4.2803076923076917</v>
      </c>
      <c r="H232">
        <f t="shared" si="13"/>
        <v>1</v>
      </c>
      <c r="I232" s="2">
        <f t="shared" si="14"/>
        <v>4.2803076923076917</v>
      </c>
      <c r="J232" s="2">
        <f t="shared" si="15"/>
        <v>0</v>
      </c>
    </row>
    <row r="233" spans="1:10" x14ac:dyDescent="0.3">
      <c r="A233">
        <v>1000017241</v>
      </c>
      <c r="B233" s="1">
        <f>VLOOKUP(A233,[1]Sheet1!A:B,2,FALSE)</f>
        <v>40557</v>
      </c>
      <c r="C233" s="2">
        <v>0</v>
      </c>
      <c r="D233" s="2">
        <f>SUMIFS([1]Sheet1!D:D,[1]Sheet1!A:A,A233,[1]Sheet1!E:E,"Figurado")</f>
        <v>6316.5</v>
      </c>
      <c r="E233" s="2">
        <f>SUMIFS([1]Sheet1!D:D,[1]Sheet1!A:A,A233,[1]Sheet1!E:E,"Mallas")</f>
        <v>0</v>
      </c>
      <c r="F233" s="2">
        <f>SUMIFS([1]Sheet1!D:D,[1]Sheet1!A:A,A233,[1]Sheet1!E:E,"Materia Prima")</f>
        <v>0</v>
      </c>
      <c r="G233" s="2">
        <f t="shared" si="12"/>
        <v>2.4294230769230771</v>
      </c>
      <c r="H233">
        <f t="shared" si="13"/>
        <v>1</v>
      </c>
      <c r="I233" s="2">
        <f t="shared" si="14"/>
        <v>2.4294230769230771</v>
      </c>
      <c r="J233" s="2">
        <f t="shared" si="15"/>
        <v>0</v>
      </c>
    </row>
    <row r="234" spans="1:10" x14ac:dyDescent="0.3">
      <c r="A234">
        <v>1000017242</v>
      </c>
      <c r="B234" s="1">
        <f>VLOOKUP(A234,[1]Sheet1!A:B,2,FALSE)</f>
        <v>40557</v>
      </c>
      <c r="C234" s="2">
        <v>0</v>
      </c>
      <c r="D234" s="2">
        <f>SUMIFS([1]Sheet1!D:D,[1]Sheet1!A:A,A234,[1]Sheet1!E:E,"Figurado")</f>
        <v>1728.6</v>
      </c>
      <c r="E234" s="2">
        <f>SUMIFS([1]Sheet1!D:D,[1]Sheet1!A:A,A234,[1]Sheet1!E:E,"Mallas")</f>
        <v>0</v>
      </c>
      <c r="F234" s="2">
        <f>SUMIFS([1]Sheet1!D:D,[1]Sheet1!A:A,A234,[1]Sheet1!E:E,"Materia Prima")</f>
        <v>0</v>
      </c>
      <c r="G234" s="2">
        <f t="shared" si="12"/>
        <v>0.66484615384615386</v>
      </c>
      <c r="H234">
        <f t="shared" si="13"/>
        <v>1</v>
      </c>
      <c r="I234" s="2">
        <f t="shared" si="14"/>
        <v>0.66484615384615386</v>
      </c>
      <c r="J234" s="2">
        <f t="shared" si="15"/>
        <v>0</v>
      </c>
    </row>
    <row r="235" spans="1:10" x14ac:dyDescent="0.3">
      <c r="A235">
        <v>1000017243</v>
      </c>
      <c r="B235" s="1">
        <f>VLOOKUP(A235,[1]Sheet1!A:B,2,FALSE)</f>
        <v>40557</v>
      </c>
      <c r="C235" s="2">
        <v>0</v>
      </c>
      <c r="D235" s="2">
        <f>SUMIFS([1]Sheet1!D:D,[1]Sheet1!A:A,A235,[1]Sheet1!E:E,"Figurado")</f>
        <v>1736.5</v>
      </c>
      <c r="E235" s="2">
        <f>SUMIFS([1]Sheet1!D:D,[1]Sheet1!A:A,A235,[1]Sheet1!E:E,"Mallas")</f>
        <v>0</v>
      </c>
      <c r="F235" s="2">
        <f>SUMIFS([1]Sheet1!D:D,[1]Sheet1!A:A,A235,[1]Sheet1!E:E,"Materia Prima")</f>
        <v>0</v>
      </c>
      <c r="G235" s="2">
        <f t="shared" si="12"/>
        <v>0.66788461538461541</v>
      </c>
      <c r="H235">
        <f t="shared" si="13"/>
        <v>1</v>
      </c>
      <c r="I235" s="2">
        <f t="shared" si="14"/>
        <v>0.66788461538461541</v>
      </c>
      <c r="J235" s="2">
        <f t="shared" si="15"/>
        <v>0</v>
      </c>
    </row>
    <row r="236" spans="1:10" x14ac:dyDescent="0.3">
      <c r="A236">
        <v>1000017245</v>
      </c>
      <c r="B236" s="1">
        <f>VLOOKUP(A236,[1]Sheet1!A:B,2,FALSE)</f>
        <v>40557</v>
      </c>
      <c r="C236" s="2">
        <v>0</v>
      </c>
      <c r="D236" s="2">
        <f>SUMIFS([1]Sheet1!D:D,[1]Sheet1!A:A,A236,[1]Sheet1!E:E,"Figurado")</f>
        <v>374.3</v>
      </c>
      <c r="E236" s="2">
        <f>SUMIFS([1]Sheet1!D:D,[1]Sheet1!A:A,A236,[1]Sheet1!E:E,"Mallas")</f>
        <v>0</v>
      </c>
      <c r="F236" s="2">
        <f>SUMIFS([1]Sheet1!D:D,[1]Sheet1!A:A,A236,[1]Sheet1!E:E,"Materia Prima")</f>
        <v>0</v>
      </c>
      <c r="G236" s="2">
        <f t="shared" si="12"/>
        <v>0.14396153846153847</v>
      </c>
      <c r="H236">
        <f t="shared" si="13"/>
        <v>1</v>
      </c>
      <c r="I236" s="2">
        <f t="shared" si="14"/>
        <v>0.14396153846153847</v>
      </c>
      <c r="J236" s="2">
        <f t="shared" si="15"/>
        <v>0</v>
      </c>
    </row>
    <row r="237" spans="1:10" x14ac:dyDescent="0.3">
      <c r="A237">
        <v>1000017246</v>
      </c>
      <c r="B237" s="1">
        <f>VLOOKUP(A237,[1]Sheet1!A:B,2,FALSE)</f>
        <v>40557</v>
      </c>
      <c r="C237" s="2">
        <v>0</v>
      </c>
      <c r="D237" s="2">
        <f>SUMIFS([1]Sheet1!D:D,[1]Sheet1!A:A,A237,[1]Sheet1!E:E,"Figurado")</f>
        <v>9185</v>
      </c>
      <c r="E237" s="2">
        <f>SUMIFS([1]Sheet1!D:D,[1]Sheet1!A:A,A237,[1]Sheet1!E:E,"Mallas")</f>
        <v>0</v>
      </c>
      <c r="F237" s="2">
        <f>SUMIFS([1]Sheet1!D:D,[1]Sheet1!A:A,A237,[1]Sheet1!E:E,"Materia Prima")</f>
        <v>0</v>
      </c>
      <c r="G237" s="2">
        <f t="shared" si="12"/>
        <v>3.5326923076923076</v>
      </c>
      <c r="H237">
        <f t="shared" si="13"/>
        <v>1</v>
      </c>
      <c r="I237" s="2">
        <f t="shared" si="14"/>
        <v>3.5326923076923076</v>
      </c>
      <c r="J237" s="2">
        <f t="shared" si="15"/>
        <v>0</v>
      </c>
    </row>
    <row r="238" spans="1:10" x14ac:dyDescent="0.3">
      <c r="A238">
        <v>1000017248</v>
      </c>
      <c r="B238" s="1">
        <f>VLOOKUP(A238,[1]Sheet1!A:B,2,FALSE)</f>
        <v>40557</v>
      </c>
      <c r="C238" s="2">
        <v>0</v>
      </c>
      <c r="D238" s="2">
        <f>SUMIFS([1]Sheet1!D:D,[1]Sheet1!A:A,A238,[1]Sheet1!E:E,"Figurado")</f>
        <v>0</v>
      </c>
      <c r="E238" s="2">
        <f>SUMIFS([1]Sheet1!D:D,[1]Sheet1!A:A,A238,[1]Sheet1!E:E,"Mallas")</f>
        <v>0</v>
      </c>
      <c r="F238" s="2">
        <f>SUMIFS([1]Sheet1!D:D,[1]Sheet1!A:A,A238,[1]Sheet1!E:E,"Materia Prima")</f>
        <v>33114</v>
      </c>
      <c r="G238" s="2">
        <f t="shared" si="12"/>
        <v>0</v>
      </c>
      <c r="H238">
        <f t="shared" si="13"/>
        <v>1</v>
      </c>
      <c r="I238" s="2">
        <f t="shared" si="14"/>
        <v>0</v>
      </c>
      <c r="J238" s="2">
        <f t="shared" si="15"/>
        <v>0</v>
      </c>
    </row>
    <row r="239" spans="1:10" x14ac:dyDescent="0.3">
      <c r="A239">
        <v>1000017250</v>
      </c>
      <c r="B239" s="1">
        <f>VLOOKUP(A239,[1]Sheet1!A:B,2,FALSE)</f>
        <v>40557</v>
      </c>
      <c r="C239" s="2">
        <v>0</v>
      </c>
      <c r="D239" s="2">
        <f>SUMIFS([1]Sheet1!D:D,[1]Sheet1!A:A,A239,[1]Sheet1!E:E,"Figurado")</f>
        <v>0</v>
      </c>
      <c r="E239" s="2">
        <f>SUMIFS([1]Sheet1!D:D,[1]Sheet1!A:A,A239,[1]Sheet1!E:E,"Mallas")</f>
        <v>860.7</v>
      </c>
      <c r="F239" s="2">
        <f>SUMIFS([1]Sheet1!D:D,[1]Sheet1!A:A,A239,[1]Sheet1!E:E,"Materia Prima")</f>
        <v>0</v>
      </c>
      <c r="G239" s="2">
        <f t="shared" si="12"/>
        <v>1.0758750000000001</v>
      </c>
      <c r="H239">
        <f t="shared" si="13"/>
        <v>1</v>
      </c>
      <c r="I239" s="2">
        <f t="shared" si="14"/>
        <v>0</v>
      </c>
      <c r="J239" s="2">
        <f t="shared" si="15"/>
        <v>1.0758750000000001</v>
      </c>
    </row>
    <row r="240" spans="1:10" x14ac:dyDescent="0.3">
      <c r="A240">
        <v>1000017251</v>
      </c>
      <c r="B240" s="1">
        <f>VLOOKUP(A240,[1]Sheet1!A:B,2,FALSE)</f>
        <v>40557</v>
      </c>
      <c r="C240" s="2">
        <v>0</v>
      </c>
      <c r="D240" s="2">
        <f>SUMIFS([1]Sheet1!D:D,[1]Sheet1!A:A,A240,[1]Sheet1!E:E,"Figurado")</f>
        <v>0</v>
      </c>
      <c r="E240" s="2">
        <f>SUMIFS([1]Sheet1!D:D,[1]Sheet1!A:A,A240,[1]Sheet1!E:E,"Mallas")</f>
        <v>8033.2</v>
      </c>
      <c r="F240" s="2">
        <f>SUMIFS([1]Sheet1!D:D,[1]Sheet1!A:A,A240,[1]Sheet1!E:E,"Materia Prima")</f>
        <v>0</v>
      </c>
      <c r="G240" s="2">
        <f t="shared" si="12"/>
        <v>10.041499999999999</v>
      </c>
      <c r="H240">
        <f t="shared" si="13"/>
        <v>1</v>
      </c>
      <c r="I240" s="2">
        <f t="shared" si="14"/>
        <v>0</v>
      </c>
      <c r="J240" s="2">
        <f t="shared" si="15"/>
        <v>10.041499999999999</v>
      </c>
    </row>
    <row r="241" spans="1:10" x14ac:dyDescent="0.3">
      <c r="A241">
        <v>1000017261</v>
      </c>
      <c r="B241" s="1">
        <f>VLOOKUP(A241,[1]Sheet1!A:B,2,FALSE)</f>
        <v>40558</v>
      </c>
      <c r="C241" s="2">
        <v>0</v>
      </c>
      <c r="D241" s="2">
        <f>SUMIFS([1]Sheet1!D:D,[1]Sheet1!A:A,A241,[1]Sheet1!E:E,"Figurado")</f>
        <v>1322.5</v>
      </c>
      <c r="E241" s="2">
        <f>SUMIFS([1]Sheet1!D:D,[1]Sheet1!A:A,A241,[1]Sheet1!E:E,"Mallas")</f>
        <v>0</v>
      </c>
      <c r="F241" s="2">
        <f>SUMIFS([1]Sheet1!D:D,[1]Sheet1!A:A,A241,[1]Sheet1!E:E,"Materia Prima")</f>
        <v>0</v>
      </c>
      <c r="G241" s="2">
        <f t="shared" si="12"/>
        <v>0.50865384615384612</v>
      </c>
      <c r="H241">
        <f t="shared" si="13"/>
        <v>1</v>
      </c>
      <c r="I241" s="2">
        <f t="shared" si="14"/>
        <v>0.50865384615384612</v>
      </c>
      <c r="J241" s="2">
        <f t="shared" si="15"/>
        <v>0</v>
      </c>
    </row>
    <row r="242" spans="1:10" x14ac:dyDescent="0.3">
      <c r="A242">
        <v>1000017262</v>
      </c>
      <c r="B242" s="1">
        <f>VLOOKUP(A242,[1]Sheet1!A:B,2,FALSE)</f>
        <v>40558</v>
      </c>
      <c r="C242" s="2">
        <v>0</v>
      </c>
      <c r="D242" s="2">
        <f>SUMIFS([1]Sheet1!D:D,[1]Sheet1!A:A,A242,[1]Sheet1!E:E,"Figurado")</f>
        <v>4674.8</v>
      </c>
      <c r="E242" s="2">
        <f>SUMIFS([1]Sheet1!D:D,[1]Sheet1!A:A,A242,[1]Sheet1!E:E,"Mallas")</f>
        <v>0</v>
      </c>
      <c r="F242" s="2">
        <f>SUMIFS([1]Sheet1!D:D,[1]Sheet1!A:A,A242,[1]Sheet1!E:E,"Materia Prima")</f>
        <v>0</v>
      </c>
      <c r="G242" s="2">
        <f t="shared" si="12"/>
        <v>1.798</v>
      </c>
      <c r="H242">
        <f t="shared" si="13"/>
        <v>1</v>
      </c>
      <c r="I242" s="2">
        <f t="shared" si="14"/>
        <v>1.798</v>
      </c>
      <c r="J242" s="2">
        <f t="shared" si="15"/>
        <v>0</v>
      </c>
    </row>
    <row r="243" spans="1:10" x14ac:dyDescent="0.3">
      <c r="A243">
        <v>1000017263</v>
      </c>
      <c r="B243" s="1">
        <f>VLOOKUP(A243,[1]Sheet1!A:B,2,FALSE)</f>
        <v>40558</v>
      </c>
      <c r="C243" s="2">
        <v>0</v>
      </c>
      <c r="D243" s="2">
        <f>SUMIFS([1]Sheet1!D:D,[1]Sheet1!A:A,A243,[1]Sheet1!E:E,"Figurado")</f>
        <v>3371.3</v>
      </c>
      <c r="E243" s="2">
        <f>SUMIFS([1]Sheet1!D:D,[1]Sheet1!A:A,A243,[1]Sheet1!E:E,"Mallas")</f>
        <v>0</v>
      </c>
      <c r="F243" s="2">
        <f>SUMIFS([1]Sheet1!D:D,[1]Sheet1!A:A,A243,[1]Sheet1!E:E,"Materia Prima")</f>
        <v>0</v>
      </c>
      <c r="G243" s="2">
        <f t="shared" si="12"/>
        <v>1.2966538461538462</v>
      </c>
      <c r="H243">
        <f t="shared" si="13"/>
        <v>1</v>
      </c>
      <c r="I243" s="2">
        <f t="shared" si="14"/>
        <v>1.2966538461538462</v>
      </c>
      <c r="J243" s="2">
        <f t="shared" si="15"/>
        <v>0</v>
      </c>
    </row>
    <row r="244" spans="1:10" x14ac:dyDescent="0.3">
      <c r="A244">
        <v>1000017271</v>
      </c>
      <c r="B244" s="1">
        <f>VLOOKUP(A244,[1]Sheet1!A:B,2,FALSE)</f>
        <v>40558</v>
      </c>
      <c r="C244" s="2">
        <v>0</v>
      </c>
      <c r="D244" s="2">
        <f>SUMIFS([1]Sheet1!D:D,[1]Sheet1!A:A,A244,[1]Sheet1!E:E,"Figurado")</f>
        <v>8912.5999999999985</v>
      </c>
      <c r="E244" s="2">
        <f>SUMIFS([1]Sheet1!D:D,[1]Sheet1!A:A,A244,[1]Sheet1!E:E,"Mallas")</f>
        <v>0</v>
      </c>
      <c r="F244" s="2">
        <f>SUMIFS([1]Sheet1!D:D,[1]Sheet1!A:A,A244,[1]Sheet1!E:E,"Materia Prima")</f>
        <v>240</v>
      </c>
      <c r="G244" s="2">
        <f t="shared" si="12"/>
        <v>3.4279230769230762</v>
      </c>
      <c r="H244">
        <f t="shared" si="13"/>
        <v>2</v>
      </c>
      <c r="I244" s="2">
        <f t="shared" si="14"/>
        <v>3.4279230769230762</v>
      </c>
      <c r="J244" s="2">
        <f t="shared" si="15"/>
        <v>0</v>
      </c>
    </row>
    <row r="245" spans="1:10" x14ac:dyDescent="0.3">
      <c r="A245">
        <v>1000017275</v>
      </c>
      <c r="B245" s="1">
        <f>VLOOKUP(A245,[1]Sheet1!A:B,2,FALSE)</f>
        <v>40558</v>
      </c>
      <c r="C245" s="2">
        <v>0</v>
      </c>
      <c r="D245" s="2">
        <f>SUMIFS([1]Sheet1!D:D,[1]Sheet1!A:A,A245,[1]Sheet1!E:E,"Figurado")</f>
        <v>2022.3999999999999</v>
      </c>
      <c r="E245" s="2">
        <f>SUMIFS([1]Sheet1!D:D,[1]Sheet1!A:A,A245,[1]Sheet1!E:E,"Mallas")</f>
        <v>0</v>
      </c>
      <c r="F245" s="2">
        <f>SUMIFS([1]Sheet1!D:D,[1]Sheet1!A:A,A245,[1]Sheet1!E:E,"Materia Prima")</f>
        <v>0</v>
      </c>
      <c r="G245" s="2">
        <f t="shared" si="12"/>
        <v>0.77784615384615374</v>
      </c>
      <c r="H245">
        <f t="shared" si="13"/>
        <v>1</v>
      </c>
      <c r="I245" s="2">
        <f t="shared" si="14"/>
        <v>0.77784615384615374</v>
      </c>
      <c r="J245" s="2">
        <f t="shared" si="15"/>
        <v>0</v>
      </c>
    </row>
    <row r="246" spans="1:10" x14ac:dyDescent="0.3">
      <c r="A246">
        <v>1000017276</v>
      </c>
      <c r="B246" s="1">
        <f>VLOOKUP(A246,[1]Sheet1!A:B,2,FALSE)</f>
        <v>40558</v>
      </c>
      <c r="C246" s="2">
        <v>0</v>
      </c>
      <c r="D246" s="2">
        <f>SUMIFS([1]Sheet1!D:D,[1]Sheet1!A:A,A246,[1]Sheet1!E:E,"Figurado")</f>
        <v>1271.8999999999999</v>
      </c>
      <c r="E246" s="2">
        <f>SUMIFS([1]Sheet1!D:D,[1]Sheet1!A:A,A246,[1]Sheet1!E:E,"Mallas")</f>
        <v>0</v>
      </c>
      <c r="F246" s="2">
        <f>SUMIFS([1]Sheet1!D:D,[1]Sheet1!A:A,A246,[1]Sheet1!E:E,"Materia Prima")</f>
        <v>0</v>
      </c>
      <c r="G246" s="2">
        <f t="shared" si="12"/>
        <v>0.48919230769230765</v>
      </c>
      <c r="H246">
        <f t="shared" si="13"/>
        <v>1</v>
      </c>
      <c r="I246" s="2">
        <f t="shared" si="14"/>
        <v>0.48919230769230765</v>
      </c>
      <c r="J246" s="2">
        <f t="shared" si="15"/>
        <v>0</v>
      </c>
    </row>
    <row r="247" spans="1:10" x14ac:dyDescent="0.3">
      <c r="A247">
        <v>1000017277</v>
      </c>
      <c r="B247" s="1">
        <f>VLOOKUP(A247,[1]Sheet1!A:B,2,FALSE)</f>
        <v>40558</v>
      </c>
      <c r="C247" s="2">
        <v>0</v>
      </c>
      <c r="D247" s="2">
        <f>SUMIFS([1]Sheet1!D:D,[1]Sheet1!A:A,A247,[1]Sheet1!E:E,"Figurado")</f>
        <v>400</v>
      </c>
      <c r="E247" s="2">
        <f>SUMIFS([1]Sheet1!D:D,[1]Sheet1!A:A,A247,[1]Sheet1!E:E,"Mallas")</f>
        <v>0</v>
      </c>
      <c r="F247" s="2">
        <f>SUMIFS([1]Sheet1!D:D,[1]Sheet1!A:A,A247,[1]Sheet1!E:E,"Materia Prima")</f>
        <v>307.2</v>
      </c>
      <c r="G247" s="2">
        <f t="shared" si="12"/>
        <v>0.15384615384615385</v>
      </c>
      <c r="H247">
        <f t="shared" si="13"/>
        <v>2</v>
      </c>
      <c r="I247" s="2">
        <f t="shared" si="14"/>
        <v>0.15384615384615385</v>
      </c>
      <c r="J247" s="2">
        <f t="shared" si="15"/>
        <v>0</v>
      </c>
    </row>
    <row r="248" spans="1:10" x14ac:dyDescent="0.3">
      <c r="A248">
        <v>1000017280</v>
      </c>
      <c r="B248" s="1">
        <f>VLOOKUP(A248,[1]Sheet1!A:B,2,FALSE)</f>
        <v>40558</v>
      </c>
      <c r="C248" s="2">
        <v>0</v>
      </c>
      <c r="D248" s="2">
        <f>SUMIFS([1]Sheet1!D:D,[1]Sheet1!A:A,A248,[1]Sheet1!E:E,"Figurado")</f>
        <v>8587.2999999999993</v>
      </c>
      <c r="E248" s="2">
        <f>SUMIFS([1]Sheet1!D:D,[1]Sheet1!A:A,A248,[1]Sheet1!E:E,"Mallas")</f>
        <v>0</v>
      </c>
      <c r="F248" s="2">
        <f>SUMIFS([1]Sheet1!D:D,[1]Sheet1!A:A,A248,[1]Sheet1!E:E,"Materia Prima")</f>
        <v>1123.2</v>
      </c>
      <c r="G248" s="2">
        <f t="shared" si="12"/>
        <v>3.3028076923076921</v>
      </c>
      <c r="H248">
        <f t="shared" si="13"/>
        <v>2</v>
      </c>
      <c r="I248" s="2">
        <f t="shared" si="14"/>
        <v>3.3028076923076921</v>
      </c>
      <c r="J248" s="2">
        <f t="shared" si="15"/>
        <v>0</v>
      </c>
    </row>
    <row r="249" spans="1:10" x14ac:dyDescent="0.3">
      <c r="A249">
        <v>1000017252</v>
      </c>
      <c r="B249" s="1">
        <f>VLOOKUP(A249,[1]Sheet1!A:B,2,FALSE)</f>
        <v>40557</v>
      </c>
      <c r="C249" s="2">
        <v>0</v>
      </c>
      <c r="D249" s="2">
        <f>SUMIFS([1]Sheet1!D:D,[1]Sheet1!A:A,A249,[1]Sheet1!E:E,"Figurado")</f>
        <v>0</v>
      </c>
      <c r="E249" s="2">
        <f>SUMIFS([1]Sheet1!D:D,[1]Sheet1!A:A,A249,[1]Sheet1!E:E,"Mallas")</f>
        <v>0</v>
      </c>
      <c r="F249" s="2">
        <f>SUMIFS([1]Sheet1!D:D,[1]Sheet1!A:A,A249,[1]Sheet1!E:E,"Materia Prima")</f>
        <v>31971.5</v>
      </c>
      <c r="G249" s="2">
        <f t="shared" si="12"/>
        <v>0</v>
      </c>
      <c r="H249">
        <f t="shared" si="13"/>
        <v>1</v>
      </c>
      <c r="I249" s="2">
        <f t="shared" si="14"/>
        <v>0</v>
      </c>
      <c r="J249" s="2">
        <f t="shared" si="15"/>
        <v>0</v>
      </c>
    </row>
    <row r="250" spans="1:10" x14ac:dyDescent="0.3">
      <c r="A250">
        <v>1000017182</v>
      </c>
      <c r="B250" s="1">
        <f>VLOOKUP(A250,[1]Sheet1!A:B,2,FALSE)</f>
        <v>40555</v>
      </c>
      <c r="C250" s="2">
        <v>0</v>
      </c>
      <c r="D250" s="2">
        <f>SUMIFS([1]Sheet1!D:D,[1]Sheet1!A:A,A250,[1]Sheet1!E:E,"Figurado")</f>
        <v>1815.7</v>
      </c>
      <c r="E250" s="2">
        <f>SUMIFS([1]Sheet1!D:D,[1]Sheet1!A:A,A250,[1]Sheet1!E:E,"Mallas")</f>
        <v>0</v>
      </c>
      <c r="F250" s="2">
        <f>SUMIFS([1]Sheet1!D:D,[1]Sheet1!A:A,A250,[1]Sheet1!E:E,"Materia Prima")</f>
        <v>0</v>
      </c>
      <c r="G250" s="2">
        <f t="shared" si="12"/>
        <v>0.69834615384615384</v>
      </c>
      <c r="H250">
        <f t="shared" si="13"/>
        <v>1</v>
      </c>
      <c r="I250" s="2">
        <f t="shared" si="14"/>
        <v>0.69834615384615384</v>
      </c>
      <c r="J250" s="2">
        <f t="shared" si="15"/>
        <v>0</v>
      </c>
    </row>
    <row r="251" spans="1:10" x14ac:dyDescent="0.3">
      <c r="A251">
        <v>1000017183</v>
      </c>
      <c r="B251" s="1">
        <f>VLOOKUP(A251,[1]Sheet1!A:B,2,FALSE)</f>
        <v>40555</v>
      </c>
      <c r="C251" s="2">
        <v>0</v>
      </c>
      <c r="D251" s="2">
        <f>SUMIFS([1]Sheet1!D:D,[1]Sheet1!A:A,A251,[1]Sheet1!E:E,"Figurado")</f>
        <v>1756.1000000000001</v>
      </c>
      <c r="E251" s="2">
        <f>SUMIFS([1]Sheet1!D:D,[1]Sheet1!A:A,A251,[1]Sheet1!E:E,"Mallas")</f>
        <v>0</v>
      </c>
      <c r="F251" s="2">
        <f>SUMIFS([1]Sheet1!D:D,[1]Sheet1!A:A,A251,[1]Sheet1!E:E,"Materia Prima")</f>
        <v>0</v>
      </c>
      <c r="G251" s="2">
        <f t="shared" si="12"/>
        <v>0.67542307692307701</v>
      </c>
      <c r="H251">
        <f t="shared" si="13"/>
        <v>1</v>
      </c>
      <c r="I251" s="2">
        <f t="shared" si="14"/>
        <v>0.67542307692307701</v>
      </c>
      <c r="J251" s="2">
        <f t="shared" si="15"/>
        <v>0</v>
      </c>
    </row>
    <row r="252" spans="1:10" x14ac:dyDescent="0.3">
      <c r="A252">
        <v>1000017191</v>
      </c>
      <c r="B252" s="1">
        <f>VLOOKUP(A252,[1]Sheet1!A:B,2,FALSE)</f>
        <v>40556</v>
      </c>
      <c r="C252" s="2">
        <v>0</v>
      </c>
      <c r="D252" s="2">
        <f>SUMIFS([1]Sheet1!D:D,[1]Sheet1!A:A,A252,[1]Sheet1!E:E,"Figurado")</f>
        <v>5109.3</v>
      </c>
      <c r="E252" s="2">
        <f>SUMIFS([1]Sheet1!D:D,[1]Sheet1!A:A,A252,[1]Sheet1!E:E,"Mallas")</f>
        <v>0</v>
      </c>
      <c r="F252" s="2">
        <f>SUMIFS([1]Sheet1!D:D,[1]Sheet1!A:A,A252,[1]Sheet1!E:E,"Materia Prima")</f>
        <v>0</v>
      </c>
      <c r="G252" s="2">
        <f t="shared" si="12"/>
        <v>1.9651153846153846</v>
      </c>
      <c r="H252">
        <f t="shared" si="13"/>
        <v>1</v>
      </c>
      <c r="I252" s="2">
        <f t="shared" si="14"/>
        <v>1.9651153846153846</v>
      </c>
      <c r="J252" s="2">
        <f t="shared" si="15"/>
        <v>0</v>
      </c>
    </row>
    <row r="253" spans="1:10" x14ac:dyDescent="0.3">
      <c r="A253">
        <v>1000017192</v>
      </c>
      <c r="B253" s="1">
        <f>VLOOKUP(A253,[1]Sheet1!A:B,2,FALSE)</f>
        <v>40556</v>
      </c>
      <c r="C253" s="2">
        <v>0</v>
      </c>
      <c r="D253" s="2">
        <f>SUMIFS([1]Sheet1!D:D,[1]Sheet1!A:A,A253,[1]Sheet1!E:E,"Figurado")</f>
        <v>5951.6</v>
      </c>
      <c r="E253" s="2">
        <f>SUMIFS([1]Sheet1!D:D,[1]Sheet1!A:A,A253,[1]Sheet1!E:E,"Mallas")</f>
        <v>0</v>
      </c>
      <c r="F253" s="2">
        <f>SUMIFS([1]Sheet1!D:D,[1]Sheet1!A:A,A253,[1]Sheet1!E:E,"Materia Prima")</f>
        <v>0</v>
      </c>
      <c r="G253" s="2">
        <f t="shared" si="12"/>
        <v>2.289076923076923</v>
      </c>
      <c r="H253">
        <f t="shared" si="13"/>
        <v>1</v>
      </c>
      <c r="I253" s="2">
        <f t="shared" si="14"/>
        <v>2.289076923076923</v>
      </c>
      <c r="J253" s="2">
        <f t="shared" si="15"/>
        <v>0</v>
      </c>
    </row>
    <row r="254" spans="1:10" x14ac:dyDescent="0.3">
      <c r="A254">
        <v>1000017201</v>
      </c>
      <c r="B254" s="1">
        <f>VLOOKUP(A254,[1]Sheet1!A:B,2,FALSE)</f>
        <v>40556</v>
      </c>
      <c r="C254" s="2">
        <v>0</v>
      </c>
      <c r="D254" s="2">
        <f>SUMIFS([1]Sheet1!D:D,[1]Sheet1!A:A,A254,[1]Sheet1!E:E,"Figurado")</f>
        <v>6747.3</v>
      </c>
      <c r="E254" s="2">
        <f>SUMIFS([1]Sheet1!D:D,[1]Sheet1!A:A,A254,[1]Sheet1!E:E,"Mallas")</f>
        <v>0</v>
      </c>
      <c r="F254" s="2">
        <f>SUMIFS([1]Sheet1!D:D,[1]Sheet1!A:A,A254,[1]Sheet1!E:E,"Materia Prima")</f>
        <v>0</v>
      </c>
      <c r="G254" s="2">
        <f t="shared" si="12"/>
        <v>2.5951153846153847</v>
      </c>
      <c r="H254">
        <f t="shared" si="13"/>
        <v>1</v>
      </c>
      <c r="I254" s="2">
        <f t="shared" si="14"/>
        <v>2.5951153846153847</v>
      </c>
      <c r="J254" s="2">
        <f t="shared" si="15"/>
        <v>0</v>
      </c>
    </row>
    <row r="255" spans="1:10" x14ac:dyDescent="0.3">
      <c r="A255">
        <v>1000017244</v>
      </c>
      <c r="B255" s="1">
        <f>VLOOKUP(A255,[1]Sheet1!A:B,2,FALSE)</f>
        <v>40557</v>
      </c>
      <c r="C255" s="2">
        <v>0</v>
      </c>
      <c r="D255" s="2">
        <f>SUMIFS([1]Sheet1!D:D,[1]Sheet1!A:A,A255,[1]Sheet1!E:E,"Figurado")</f>
        <v>9654.7000000000007</v>
      </c>
      <c r="E255" s="2">
        <f>SUMIFS([1]Sheet1!D:D,[1]Sheet1!A:A,A255,[1]Sheet1!E:E,"Mallas")</f>
        <v>0</v>
      </c>
      <c r="F255" s="2">
        <f>SUMIFS([1]Sheet1!D:D,[1]Sheet1!A:A,A255,[1]Sheet1!E:E,"Materia Prima")</f>
        <v>0</v>
      </c>
      <c r="G255" s="2">
        <f t="shared" si="12"/>
        <v>3.7133461538461541</v>
      </c>
      <c r="H255">
        <f t="shared" si="13"/>
        <v>1</v>
      </c>
      <c r="I255" s="2">
        <f t="shared" si="14"/>
        <v>3.7133461538461541</v>
      </c>
      <c r="J255" s="2">
        <f t="shared" si="15"/>
        <v>0</v>
      </c>
    </row>
    <row r="256" spans="1:10" x14ac:dyDescent="0.3">
      <c r="A256">
        <v>1000017286</v>
      </c>
      <c r="B256" s="1">
        <f>VLOOKUP(A256,[1]Sheet1!A:B,2,FALSE)</f>
        <v>40560</v>
      </c>
      <c r="C256" s="2">
        <v>0</v>
      </c>
      <c r="D256" s="2">
        <f>SUMIFS([1]Sheet1!D:D,[1]Sheet1!A:A,A256,[1]Sheet1!E:E,"Figurado")</f>
        <v>9390.6</v>
      </c>
      <c r="E256" s="2">
        <f>SUMIFS([1]Sheet1!D:D,[1]Sheet1!A:A,A256,[1]Sheet1!E:E,"Mallas")</f>
        <v>0</v>
      </c>
      <c r="F256" s="2">
        <f>SUMIFS([1]Sheet1!D:D,[1]Sheet1!A:A,A256,[1]Sheet1!E:E,"Materia Prima")</f>
        <v>0</v>
      </c>
      <c r="G256" s="2">
        <f t="shared" si="12"/>
        <v>3.6117692307692311</v>
      </c>
      <c r="H256">
        <f t="shared" si="13"/>
        <v>1</v>
      </c>
      <c r="I256" s="2">
        <f t="shared" si="14"/>
        <v>3.6117692307692311</v>
      </c>
      <c r="J256" s="2">
        <f t="shared" si="15"/>
        <v>0</v>
      </c>
    </row>
    <row r="257" spans="1:10" x14ac:dyDescent="0.3">
      <c r="A257">
        <v>1000017287</v>
      </c>
      <c r="B257" s="1">
        <f>VLOOKUP(A257,[1]Sheet1!A:B,2,FALSE)</f>
        <v>40560</v>
      </c>
      <c r="C257" s="2">
        <v>0</v>
      </c>
      <c r="D257" s="2">
        <f>SUMIFS([1]Sheet1!D:D,[1]Sheet1!A:A,A257,[1]Sheet1!E:E,"Figurado")</f>
        <v>8630.7000000000007</v>
      </c>
      <c r="E257" s="2">
        <f>SUMIFS([1]Sheet1!D:D,[1]Sheet1!A:A,A257,[1]Sheet1!E:E,"Mallas")</f>
        <v>0</v>
      </c>
      <c r="F257" s="2">
        <f>SUMIFS([1]Sheet1!D:D,[1]Sheet1!A:A,A257,[1]Sheet1!E:E,"Materia Prima")</f>
        <v>0</v>
      </c>
      <c r="G257" s="2">
        <f t="shared" si="12"/>
        <v>3.3195000000000001</v>
      </c>
      <c r="H257">
        <f t="shared" si="13"/>
        <v>1</v>
      </c>
      <c r="I257" s="2">
        <f t="shared" si="14"/>
        <v>3.3195000000000001</v>
      </c>
      <c r="J257" s="2">
        <f t="shared" si="15"/>
        <v>0</v>
      </c>
    </row>
    <row r="258" spans="1:10" x14ac:dyDescent="0.3">
      <c r="A258">
        <v>1000017288</v>
      </c>
      <c r="B258" s="1">
        <f>VLOOKUP(A258,[1]Sheet1!A:B,2,FALSE)</f>
        <v>40560</v>
      </c>
      <c r="C258" s="2">
        <v>0</v>
      </c>
      <c r="D258" s="2">
        <f>SUMIFS([1]Sheet1!D:D,[1]Sheet1!A:A,A258,[1]Sheet1!E:E,"Figurado")</f>
        <v>131.30000000000001</v>
      </c>
      <c r="E258" s="2">
        <f>SUMIFS([1]Sheet1!D:D,[1]Sheet1!A:A,A258,[1]Sheet1!E:E,"Mallas")</f>
        <v>0</v>
      </c>
      <c r="F258" s="2">
        <f>SUMIFS([1]Sheet1!D:D,[1]Sheet1!A:A,A258,[1]Sheet1!E:E,"Materia Prima")</f>
        <v>0</v>
      </c>
      <c r="G258" s="2">
        <f t="shared" si="12"/>
        <v>5.0500000000000003E-2</v>
      </c>
      <c r="H258">
        <f t="shared" si="13"/>
        <v>1</v>
      </c>
      <c r="I258" s="2">
        <f t="shared" si="14"/>
        <v>5.0500000000000003E-2</v>
      </c>
      <c r="J258" s="2">
        <f t="shared" si="15"/>
        <v>0</v>
      </c>
    </row>
    <row r="259" spans="1:10" x14ac:dyDescent="0.3">
      <c r="A259">
        <v>1000017292</v>
      </c>
      <c r="B259" s="1">
        <f>VLOOKUP(A259,[1]Sheet1!A:B,2,FALSE)</f>
        <v>40560</v>
      </c>
      <c r="C259" s="2">
        <v>0</v>
      </c>
      <c r="D259" s="2">
        <f>SUMIFS([1]Sheet1!D:D,[1]Sheet1!A:A,A259,[1]Sheet1!E:E,"Figurado")</f>
        <v>11657.599999999999</v>
      </c>
      <c r="E259" s="2">
        <f>SUMIFS([1]Sheet1!D:D,[1]Sheet1!A:A,A259,[1]Sheet1!E:E,"Mallas")</f>
        <v>0</v>
      </c>
      <c r="F259" s="2">
        <f>SUMIFS([1]Sheet1!D:D,[1]Sheet1!A:A,A259,[1]Sheet1!E:E,"Materia Prima")</f>
        <v>0</v>
      </c>
      <c r="G259" s="2">
        <f t="shared" ref="G259:G322" si="16">(D259/2600)+(E259/800)</f>
        <v>4.4836923076923068</v>
      </c>
      <c r="H259">
        <f t="shared" ref="H259:H322" si="17">(IF(D259&gt;0,1,0) + IF(E259&gt;0,1,0) + IF(F259&gt;0,1,0))</f>
        <v>1</v>
      </c>
      <c r="I259" s="2">
        <f t="shared" ref="I259:I322" si="18">D259/2600</f>
        <v>4.4836923076923068</v>
      </c>
      <c r="J259" s="2">
        <f t="shared" ref="J259:J322" si="19">E259/800</f>
        <v>0</v>
      </c>
    </row>
    <row r="260" spans="1:10" x14ac:dyDescent="0.3">
      <c r="A260">
        <v>1000017300</v>
      </c>
      <c r="B260" s="1">
        <f>VLOOKUP(A260,[1]Sheet1!A:B,2,FALSE)</f>
        <v>40560</v>
      </c>
      <c r="C260" s="2">
        <v>0</v>
      </c>
      <c r="D260" s="2">
        <f>SUMIFS([1]Sheet1!D:D,[1]Sheet1!A:A,A260,[1]Sheet1!E:E,"Figurado")</f>
        <v>9806.5</v>
      </c>
      <c r="E260" s="2">
        <f>SUMIFS([1]Sheet1!D:D,[1]Sheet1!A:A,A260,[1]Sheet1!E:E,"Mallas")</f>
        <v>0</v>
      </c>
      <c r="F260" s="2">
        <f>SUMIFS([1]Sheet1!D:D,[1]Sheet1!A:A,A260,[1]Sheet1!E:E,"Materia Prima")</f>
        <v>0</v>
      </c>
      <c r="G260" s="2">
        <f t="shared" si="16"/>
        <v>3.7717307692307691</v>
      </c>
      <c r="H260">
        <f t="shared" si="17"/>
        <v>1</v>
      </c>
      <c r="I260" s="2">
        <f t="shared" si="18"/>
        <v>3.7717307692307691</v>
      </c>
      <c r="J260" s="2">
        <f t="shared" si="19"/>
        <v>0</v>
      </c>
    </row>
    <row r="261" spans="1:10" x14ac:dyDescent="0.3">
      <c r="A261">
        <v>1000017301</v>
      </c>
      <c r="B261" s="1">
        <f>VLOOKUP(A261,[1]Sheet1!A:B,2,FALSE)</f>
        <v>40560</v>
      </c>
      <c r="C261" s="2">
        <v>0</v>
      </c>
      <c r="D261" s="2">
        <f>SUMIFS([1]Sheet1!D:D,[1]Sheet1!A:A,A261,[1]Sheet1!E:E,"Figurado")</f>
        <v>4710</v>
      </c>
      <c r="E261" s="2">
        <f>SUMIFS([1]Sheet1!D:D,[1]Sheet1!A:A,A261,[1]Sheet1!E:E,"Mallas")</f>
        <v>0</v>
      </c>
      <c r="F261" s="2">
        <f>SUMIFS([1]Sheet1!D:D,[1]Sheet1!A:A,A261,[1]Sheet1!E:E,"Materia Prima")</f>
        <v>0</v>
      </c>
      <c r="G261" s="2">
        <f t="shared" si="16"/>
        <v>1.8115384615384615</v>
      </c>
      <c r="H261">
        <f t="shared" si="17"/>
        <v>1</v>
      </c>
      <c r="I261" s="2">
        <f t="shared" si="18"/>
        <v>1.8115384615384615</v>
      </c>
      <c r="J261" s="2">
        <f t="shared" si="19"/>
        <v>0</v>
      </c>
    </row>
    <row r="262" spans="1:10" x14ac:dyDescent="0.3">
      <c r="A262">
        <v>1000017302</v>
      </c>
      <c r="B262" s="1">
        <f>VLOOKUP(A262,[1]Sheet1!A:B,2,FALSE)</f>
        <v>40560</v>
      </c>
      <c r="C262" s="2">
        <v>0</v>
      </c>
      <c r="D262" s="2">
        <f>SUMIFS([1]Sheet1!D:D,[1]Sheet1!A:A,A262,[1]Sheet1!E:E,"Figurado")</f>
        <v>1787.8</v>
      </c>
      <c r="E262" s="2">
        <f>SUMIFS([1]Sheet1!D:D,[1]Sheet1!A:A,A262,[1]Sheet1!E:E,"Mallas")</f>
        <v>0</v>
      </c>
      <c r="F262" s="2">
        <f>SUMIFS([1]Sheet1!D:D,[1]Sheet1!A:A,A262,[1]Sheet1!E:E,"Materia Prima")</f>
        <v>0</v>
      </c>
      <c r="G262" s="2">
        <f t="shared" si="16"/>
        <v>0.68761538461538463</v>
      </c>
      <c r="H262">
        <f t="shared" si="17"/>
        <v>1</v>
      </c>
      <c r="I262" s="2">
        <f t="shared" si="18"/>
        <v>0.68761538461538463</v>
      </c>
      <c r="J262" s="2">
        <f t="shared" si="19"/>
        <v>0</v>
      </c>
    </row>
    <row r="263" spans="1:10" x14ac:dyDescent="0.3">
      <c r="A263">
        <v>1000017303</v>
      </c>
      <c r="B263" s="1">
        <f>VLOOKUP(A263,[1]Sheet1!A:B,2,FALSE)</f>
        <v>40560</v>
      </c>
      <c r="C263" s="2">
        <v>0</v>
      </c>
      <c r="D263" s="2">
        <f>SUMIFS([1]Sheet1!D:D,[1]Sheet1!A:A,A263,[1]Sheet1!E:E,"Figurado")</f>
        <v>0</v>
      </c>
      <c r="E263" s="2">
        <f>SUMIFS([1]Sheet1!D:D,[1]Sheet1!A:A,A263,[1]Sheet1!E:E,"Mallas")</f>
        <v>0</v>
      </c>
      <c r="F263" s="2">
        <f>SUMIFS([1]Sheet1!D:D,[1]Sheet1!A:A,A263,[1]Sheet1!E:E,"Materia Prima")</f>
        <v>1752</v>
      </c>
      <c r="G263" s="2">
        <f t="shared" si="16"/>
        <v>0</v>
      </c>
      <c r="H263">
        <f t="shared" si="17"/>
        <v>1</v>
      </c>
      <c r="I263" s="2">
        <f t="shared" si="18"/>
        <v>0</v>
      </c>
      <c r="J263" s="2">
        <f t="shared" si="19"/>
        <v>0</v>
      </c>
    </row>
    <row r="264" spans="1:10" x14ac:dyDescent="0.3">
      <c r="A264">
        <v>1000017353</v>
      </c>
      <c r="B264" s="1">
        <f>VLOOKUP(A264,[1]Sheet1!A:B,2,FALSE)</f>
        <v>40562</v>
      </c>
      <c r="C264" s="2">
        <v>0</v>
      </c>
      <c r="D264" s="2">
        <f>SUMIFS([1]Sheet1!D:D,[1]Sheet1!A:A,A264,[1]Sheet1!E:E,"Figurado")</f>
        <v>0</v>
      </c>
      <c r="E264" s="2">
        <f>SUMIFS([1]Sheet1!D:D,[1]Sheet1!A:A,A264,[1]Sheet1!E:E,"Mallas")</f>
        <v>0</v>
      </c>
      <c r="F264" s="2">
        <f>SUMIFS([1]Sheet1!D:D,[1]Sheet1!A:A,A264,[1]Sheet1!E:E,"Materia Prima")</f>
        <v>31820</v>
      </c>
      <c r="G264" s="2">
        <f t="shared" si="16"/>
        <v>0</v>
      </c>
      <c r="H264">
        <f t="shared" si="17"/>
        <v>1</v>
      </c>
      <c r="I264" s="2">
        <f t="shared" si="18"/>
        <v>0</v>
      </c>
      <c r="J264" s="2">
        <f t="shared" si="19"/>
        <v>0</v>
      </c>
    </row>
    <row r="265" spans="1:10" x14ac:dyDescent="0.3">
      <c r="A265">
        <v>1000017011</v>
      </c>
      <c r="B265" s="1">
        <f>VLOOKUP(A265,[1]Sheet1!A:B,2,FALSE)</f>
        <v>40547</v>
      </c>
      <c r="C265" s="2">
        <v>0</v>
      </c>
      <c r="D265" s="2">
        <f>SUMIFS([1]Sheet1!D:D,[1]Sheet1!A:A,A265,[1]Sheet1!E:E,"Figurado")</f>
        <v>9622</v>
      </c>
      <c r="E265" s="2">
        <f>SUMIFS([1]Sheet1!D:D,[1]Sheet1!A:A,A265,[1]Sheet1!E:E,"Mallas")</f>
        <v>0</v>
      </c>
      <c r="F265" s="2">
        <f>SUMIFS([1]Sheet1!D:D,[1]Sheet1!A:A,A265,[1]Sheet1!E:E,"Materia Prima")</f>
        <v>0</v>
      </c>
      <c r="G265" s="2">
        <f t="shared" si="16"/>
        <v>3.7007692307692306</v>
      </c>
      <c r="H265">
        <f t="shared" si="17"/>
        <v>1</v>
      </c>
      <c r="I265" s="2">
        <f t="shared" si="18"/>
        <v>3.7007692307692306</v>
      </c>
      <c r="J265" s="2">
        <f t="shared" si="19"/>
        <v>0</v>
      </c>
    </row>
    <row r="266" spans="1:10" x14ac:dyDescent="0.3">
      <c r="A266">
        <v>1000017012</v>
      </c>
      <c r="B266" s="1">
        <f>VLOOKUP(A266,[1]Sheet1!A:B,2,FALSE)</f>
        <v>40547</v>
      </c>
      <c r="C266" s="2">
        <v>0</v>
      </c>
      <c r="D266" s="2">
        <f>SUMIFS([1]Sheet1!D:D,[1]Sheet1!A:A,A266,[1]Sheet1!E:E,"Figurado")</f>
        <v>498.7</v>
      </c>
      <c r="E266" s="2">
        <f>SUMIFS([1]Sheet1!D:D,[1]Sheet1!A:A,A266,[1]Sheet1!E:E,"Mallas")</f>
        <v>0</v>
      </c>
      <c r="F266" s="2">
        <f>SUMIFS([1]Sheet1!D:D,[1]Sheet1!A:A,A266,[1]Sheet1!E:E,"Materia Prima")</f>
        <v>0</v>
      </c>
      <c r="G266" s="2">
        <f t="shared" si="16"/>
        <v>0.19180769230769229</v>
      </c>
      <c r="H266">
        <f t="shared" si="17"/>
        <v>1</v>
      </c>
      <c r="I266" s="2">
        <f t="shared" si="18"/>
        <v>0.19180769230769229</v>
      </c>
      <c r="J266" s="2">
        <f t="shared" si="19"/>
        <v>0</v>
      </c>
    </row>
    <row r="267" spans="1:10" x14ac:dyDescent="0.3">
      <c r="A267">
        <v>1000017180</v>
      </c>
      <c r="B267" s="1">
        <f>VLOOKUP(A267,[1]Sheet1!A:B,2,FALSE)</f>
        <v>40555</v>
      </c>
      <c r="C267" s="2">
        <v>0</v>
      </c>
      <c r="D267" s="2">
        <f>SUMIFS([1]Sheet1!D:D,[1]Sheet1!A:A,A267,[1]Sheet1!E:E,"Figurado")</f>
        <v>9747.5999999999985</v>
      </c>
      <c r="E267" s="2">
        <f>SUMIFS([1]Sheet1!D:D,[1]Sheet1!A:A,A267,[1]Sheet1!E:E,"Mallas")</f>
        <v>0</v>
      </c>
      <c r="F267" s="2">
        <f>SUMIFS([1]Sheet1!D:D,[1]Sheet1!A:A,A267,[1]Sheet1!E:E,"Materia Prima")</f>
        <v>0</v>
      </c>
      <c r="G267" s="2">
        <f t="shared" si="16"/>
        <v>3.7490769230769225</v>
      </c>
      <c r="H267">
        <f t="shared" si="17"/>
        <v>1</v>
      </c>
      <c r="I267" s="2">
        <f t="shared" si="18"/>
        <v>3.7490769230769225</v>
      </c>
      <c r="J267" s="2">
        <f t="shared" si="19"/>
        <v>0</v>
      </c>
    </row>
    <row r="268" spans="1:10" x14ac:dyDescent="0.3">
      <c r="A268">
        <v>1000017181</v>
      </c>
      <c r="B268" s="1">
        <f>VLOOKUP(A268,[1]Sheet1!A:B,2,FALSE)</f>
        <v>40555</v>
      </c>
      <c r="C268" s="2">
        <v>0</v>
      </c>
      <c r="D268" s="2">
        <f>SUMIFS([1]Sheet1!D:D,[1]Sheet1!A:A,A268,[1]Sheet1!E:E,"Figurado")</f>
        <v>219.1</v>
      </c>
      <c r="E268" s="2">
        <f>SUMIFS([1]Sheet1!D:D,[1]Sheet1!A:A,A268,[1]Sheet1!E:E,"Mallas")</f>
        <v>0</v>
      </c>
      <c r="F268" s="2">
        <f>SUMIFS([1]Sheet1!D:D,[1]Sheet1!A:A,A268,[1]Sheet1!E:E,"Materia Prima")</f>
        <v>0</v>
      </c>
      <c r="G268" s="2">
        <f t="shared" si="16"/>
        <v>8.4269230769230763E-2</v>
      </c>
      <c r="H268">
        <f t="shared" si="17"/>
        <v>1</v>
      </c>
      <c r="I268" s="2">
        <f t="shared" si="18"/>
        <v>8.4269230769230763E-2</v>
      </c>
      <c r="J268" s="2">
        <f t="shared" si="19"/>
        <v>0</v>
      </c>
    </row>
    <row r="269" spans="1:10" x14ac:dyDescent="0.3">
      <c r="A269">
        <v>1000017199</v>
      </c>
      <c r="B269" s="1">
        <f>VLOOKUP(A269,[1]Sheet1!A:B,2,FALSE)</f>
        <v>40556</v>
      </c>
      <c r="C269" s="2">
        <v>0</v>
      </c>
      <c r="D269" s="2">
        <f>SUMIFS([1]Sheet1!D:D,[1]Sheet1!A:A,A269,[1]Sheet1!E:E,"Figurado")</f>
        <v>1412.4</v>
      </c>
      <c r="E269" s="2">
        <f>SUMIFS([1]Sheet1!D:D,[1]Sheet1!A:A,A269,[1]Sheet1!E:E,"Mallas")</f>
        <v>0</v>
      </c>
      <c r="F269" s="2">
        <f>SUMIFS([1]Sheet1!D:D,[1]Sheet1!A:A,A269,[1]Sheet1!E:E,"Materia Prima")</f>
        <v>0</v>
      </c>
      <c r="G269" s="2">
        <f t="shared" si="16"/>
        <v>0.54323076923076929</v>
      </c>
      <c r="H269">
        <f t="shared" si="17"/>
        <v>1</v>
      </c>
      <c r="I269" s="2">
        <f t="shared" si="18"/>
        <v>0.54323076923076929</v>
      </c>
      <c r="J269" s="2">
        <f t="shared" si="19"/>
        <v>0</v>
      </c>
    </row>
    <row r="270" spans="1:10" x14ac:dyDescent="0.3">
      <c r="A270">
        <v>1000017203</v>
      </c>
      <c r="B270" s="1">
        <f>VLOOKUP(A270,[1]Sheet1!A:B,2,FALSE)</f>
        <v>40556</v>
      </c>
      <c r="C270" s="2">
        <v>0</v>
      </c>
      <c r="D270" s="2">
        <f>SUMIFS([1]Sheet1!D:D,[1]Sheet1!A:A,A270,[1]Sheet1!E:E,"Figurado")</f>
        <v>4002.2</v>
      </c>
      <c r="E270" s="2">
        <f>SUMIFS([1]Sheet1!D:D,[1]Sheet1!A:A,A270,[1]Sheet1!E:E,"Mallas")</f>
        <v>0</v>
      </c>
      <c r="F270" s="2">
        <f>SUMIFS([1]Sheet1!D:D,[1]Sheet1!A:A,A270,[1]Sheet1!E:E,"Materia Prima")</f>
        <v>0</v>
      </c>
      <c r="G270" s="2">
        <f t="shared" si="16"/>
        <v>1.5393076923076923</v>
      </c>
      <c r="H270">
        <f t="shared" si="17"/>
        <v>1</v>
      </c>
      <c r="I270" s="2">
        <f t="shared" si="18"/>
        <v>1.5393076923076923</v>
      </c>
      <c r="J270" s="2">
        <f t="shared" si="19"/>
        <v>0</v>
      </c>
    </row>
    <row r="271" spans="1:10" x14ac:dyDescent="0.3">
      <c r="A271">
        <v>1000017204</v>
      </c>
      <c r="B271" s="1">
        <f>VLOOKUP(A271,[1]Sheet1!A:B,2,FALSE)</f>
        <v>40556</v>
      </c>
      <c r="C271" s="2">
        <v>0</v>
      </c>
      <c r="D271" s="2">
        <f>SUMIFS([1]Sheet1!D:D,[1]Sheet1!A:A,A271,[1]Sheet1!E:E,"Figurado")</f>
        <v>0</v>
      </c>
      <c r="E271" s="2">
        <f>SUMIFS([1]Sheet1!D:D,[1]Sheet1!A:A,A271,[1]Sheet1!E:E,"Mallas")</f>
        <v>3952</v>
      </c>
      <c r="F271" s="2">
        <f>SUMIFS([1]Sheet1!D:D,[1]Sheet1!A:A,A271,[1]Sheet1!E:E,"Materia Prima")</f>
        <v>0</v>
      </c>
      <c r="G271" s="2">
        <f t="shared" si="16"/>
        <v>4.9400000000000004</v>
      </c>
      <c r="H271">
        <f t="shared" si="17"/>
        <v>1</v>
      </c>
      <c r="I271" s="2">
        <f t="shared" si="18"/>
        <v>0</v>
      </c>
      <c r="J271" s="2">
        <f t="shared" si="19"/>
        <v>4.9400000000000004</v>
      </c>
    </row>
    <row r="272" spans="1:10" x14ac:dyDescent="0.3">
      <c r="A272">
        <v>1000017205</v>
      </c>
      <c r="B272" s="1">
        <f>VLOOKUP(A272,[1]Sheet1!A:B,2,FALSE)</f>
        <v>40556</v>
      </c>
      <c r="C272" s="2">
        <v>0</v>
      </c>
      <c r="D272" s="2">
        <f>SUMIFS([1]Sheet1!D:D,[1]Sheet1!A:A,A272,[1]Sheet1!E:E,"Figurado")</f>
        <v>0</v>
      </c>
      <c r="E272" s="2">
        <f>SUMIFS([1]Sheet1!D:D,[1]Sheet1!A:A,A272,[1]Sheet1!E:E,"Mallas")</f>
        <v>2094.4</v>
      </c>
      <c r="F272" s="2">
        <f>SUMIFS([1]Sheet1!D:D,[1]Sheet1!A:A,A272,[1]Sheet1!E:E,"Materia Prima")</f>
        <v>0</v>
      </c>
      <c r="G272" s="2">
        <f t="shared" si="16"/>
        <v>2.6180000000000003</v>
      </c>
      <c r="H272">
        <f t="shared" si="17"/>
        <v>1</v>
      </c>
      <c r="I272" s="2">
        <f t="shared" si="18"/>
        <v>0</v>
      </c>
      <c r="J272" s="2">
        <f t="shared" si="19"/>
        <v>2.6180000000000003</v>
      </c>
    </row>
    <row r="273" spans="1:10" x14ac:dyDescent="0.3">
      <c r="A273">
        <v>1000017206</v>
      </c>
      <c r="B273" s="1">
        <f>VLOOKUP(A273,[1]Sheet1!A:B,2,FALSE)</f>
        <v>40556</v>
      </c>
      <c r="C273" s="2">
        <v>0</v>
      </c>
      <c r="D273" s="2">
        <f>SUMIFS([1]Sheet1!D:D,[1]Sheet1!A:A,A273,[1]Sheet1!E:E,"Figurado")</f>
        <v>0</v>
      </c>
      <c r="E273" s="2">
        <f>SUMIFS([1]Sheet1!D:D,[1]Sheet1!A:A,A273,[1]Sheet1!E:E,"Mallas")</f>
        <v>0</v>
      </c>
      <c r="F273" s="2">
        <f>SUMIFS([1]Sheet1!D:D,[1]Sheet1!A:A,A273,[1]Sheet1!E:E,"Materia Prima")</f>
        <v>2000</v>
      </c>
      <c r="G273" s="2">
        <f t="shared" si="16"/>
        <v>0</v>
      </c>
      <c r="H273">
        <f t="shared" si="17"/>
        <v>1</v>
      </c>
      <c r="I273" s="2">
        <f t="shared" si="18"/>
        <v>0</v>
      </c>
      <c r="J273" s="2">
        <f t="shared" si="19"/>
        <v>0</v>
      </c>
    </row>
    <row r="274" spans="1:10" x14ac:dyDescent="0.3">
      <c r="A274">
        <v>1000017207</v>
      </c>
      <c r="B274" s="1">
        <f>VLOOKUP(A274,[1]Sheet1!A:B,2,FALSE)</f>
        <v>40556</v>
      </c>
      <c r="C274" s="2">
        <v>0</v>
      </c>
      <c r="D274" s="2">
        <f>SUMIFS([1]Sheet1!D:D,[1]Sheet1!A:A,A274,[1]Sheet1!E:E,"Figurado")</f>
        <v>0</v>
      </c>
      <c r="E274" s="2">
        <f>SUMIFS([1]Sheet1!D:D,[1]Sheet1!A:A,A274,[1]Sheet1!E:E,"Mallas")</f>
        <v>0</v>
      </c>
      <c r="F274" s="2">
        <f>SUMIFS([1]Sheet1!D:D,[1]Sheet1!A:A,A274,[1]Sheet1!E:E,"Materia Prima")</f>
        <v>520</v>
      </c>
      <c r="G274" s="2">
        <f t="shared" si="16"/>
        <v>0</v>
      </c>
      <c r="H274">
        <f t="shared" si="17"/>
        <v>1</v>
      </c>
      <c r="I274" s="2">
        <f t="shared" si="18"/>
        <v>0</v>
      </c>
      <c r="J274" s="2">
        <f t="shared" si="19"/>
        <v>0</v>
      </c>
    </row>
    <row r="275" spans="1:10" x14ac:dyDescent="0.3">
      <c r="A275">
        <v>1000017219</v>
      </c>
      <c r="B275" s="1">
        <f>VLOOKUP(A275,[1]Sheet1!A:B,2,FALSE)</f>
        <v>40556</v>
      </c>
      <c r="C275" s="2">
        <v>0</v>
      </c>
      <c r="D275" s="2">
        <f>SUMIFS([1]Sheet1!D:D,[1]Sheet1!A:A,A275,[1]Sheet1!E:E,"Figurado")</f>
        <v>0</v>
      </c>
      <c r="E275" s="2">
        <f>SUMIFS([1]Sheet1!D:D,[1]Sheet1!A:A,A275,[1]Sheet1!E:E,"Mallas")</f>
        <v>0</v>
      </c>
      <c r="F275" s="2">
        <f>SUMIFS([1]Sheet1!D:D,[1]Sheet1!A:A,A275,[1]Sheet1!E:E,"Materia Prima")</f>
        <v>24117.599999999999</v>
      </c>
      <c r="G275" s="2">
        <f t="shared" si="16"/>
        <v>0</v>
      </c>
      <c r="H275">
        <f t="shared" si="17"/>
        <v>1</v>
      </c>
      <c r="I275" s="2">
        <f t="shared" si="18"/>
        <v>0</v>
      </c>
      <c r="J275" s="2">
        <f t="shared" si="19"/>
        <v>0</v>
      </c>
    </row>
    <row r="276" spans="1:10" x14ac:dyDescent="0.3">
      <c r="A276">
        <v>1000017220</v>
      </c>
      <c r="B276" s="1">
        <f>VLOOKUP(A276,[1]Sheet1!A:B,2,FALSE)</f>
        <v>40556</v>
      </c>
      <c r="C276" s="2">
        <v>0</v>
      </c>
      <c r="D276" s="2">
        <f>SUMIFS([1]Sheet1!D:D,[1]Sheet1!A:A,A276,[1]Sheet1!E:E,"Figurado")</f>
        <v>0</v>
      </c>
      <c r="E276" s="2">
        <f>SUMIFS([1]Sheet1!D:D,[1]Sheet1!A:A,A276,[1]Sheet1!E:E,"Mallas")</f>
        <v>0</v>
      </c>
      <c r="F276" s="2">
        <f>SUMIFS([1]Sheet1!D:D,[1]Sheet1!A:A,A276,[1]Sheet1!E:E,"Materia Prima")</f>
        <v>2974.3</v>
      </c>
      <c r="G276" s="2">
        <f t="shared" si="16"/>
        <v>0</v>
      </c>
      <c r="H276">
        <f t="shared" si="17"/>
        <v>1</v>
      </c>
      <c r="I276" s="2">
        <f t="shared" si="18"/>
        <v>0</v>
      </c>
      <c r="J276" s="2">
        <f t="shared" si="19"/>
        <v>0</v>
      </c>
    </row>
    <row r="277" spans="1:10" x14ac:dyDescent="0.3">
      <c r="A277">
        <v>1000017221</v>
      </c>
      <c r="B277" s="1">
        <f>VLOOKUP(A277,[1]Sheet1!A:B,2,FALSE)</f>
        <v>40556</v>
      </c>
      <c r="C277" s="2">
        <v>0</v>
      </c>
      <c r="D277" s="2">
        <f>SUMIFS([1]Sheet1!D:D,[1]Sheet1!A:A,A277,[1]Sheet1!E:E,"Figurado")</f>
        <v>0</v>
      </c>
      <c r="E277" s="2">
        <f>SUMIFS([1]Sheet1!D:D,[1]Sheet1!A:A,A277,[1]Sheet1!E:E,"Mallas")</f>
        <v>0</v>
      </c>
      <c r="F277" s="2">
        <f>SUMIFS([1]Sheet1!D:D,[1]Sheet1!A:A,A277,[1]Sheet1!E:E,"Materia Prima")</f>
        <v>3084.5</v>
      </c>
      <c r="G277" s="2">
        <f t="shared" si="16"/>
        <v>0</v>
      </c>
      <c r="H277">
        <f t="shared" si="17"/>
        <v>1</v>
      </c>
      <c r="I277" s="2">
        <f t="shared" si="18"/>
        <v>0</v>
      </c>
      <c r="J277" s="2">
        <f t="shared" si="19"/>
        <v>0</v>
      </c>
    </row>
    <row r="278" spans="1:10" x14ac:dyDescent="0.3">
      <c r="A278">
        <v>1000017222</v>
      </c>
      <c r="B278" s="1">
        <f>VLOOKUP(A278,[1]Sheet1!A:B,2,FALSE)</f>
        <v>40556</v>
      </c>
      <c r="C278" s="2">
        <v>0</v>
      </c>
      <c r="D278" s="2">
        <f>SUMIFS([1]Sheet1!D:D,[1]Sheet1!A:A,A278,[1]Sheet1!E:E,"Figurado")</f>
        <v>0</v>
      </c>
      <c r="E278" s="2">
        <f>SUMIFS([1]Sheet1!D:D,[1]Sheet1!A:A,A278,[1]Sheet1!E:E,"Mallas")</f>
        <v>0</v>
      </c>
      <c r="F278" s="2">
        <f>SUMIFS([1]Sheet1!D:D,[1]Sheet1!A:A,A278,[1]Sheet1!E:E,"Materia Prima")</f>
        <v>3745.4</v>
      </c>
      <c r="G278" s="2">
        <f t="shared" si="16"/>
        <v>0</v>
      </c>
      <c r="H278">
        <f t="shared" si="17"/>
        <v>1</v>
      </c>
      <c r="I278" s="2">
        <f t="shared" si="18"/>
        <v>0</v>
      </c>
      <c r="J278" s="2">
        <f t="shared" si="19"/>
        <v>0</v>
      </c>
    </row>
    <row r="279" spans="1:10" x14ac:dyDescent="0.3">
      <c r="A279">
        <v>1000017229</v>
      </c>
      <c r="B279" s="1">
        <f>VLOOKUP(A279,[1]Sheet1!A:B,2,FALSE)</f>
        <v>40556</v>
      </c>
      <c r="C279" s="2">
        <v>0</v>
      </c>
      <c r="D279" s="2">
        <f>SUMIFS([1]Sheet1!D:D,[1]Sheet1!A:A,A279,[1]Sheet1!E:E,"Figurado")</f>
        <v>0</v>
      </c>
      <c r="E279" s="2">
        <f>SUMIFS([1]Sheet1!D:D,[1]Sheet1!A:A,A279,[1]Sheet1!E:E,"Mallas")</f>
        <v>4347.2</v>
      </c>
      <c r="F279" s="2">
        <f>SUMIFS([1]Sheet1!D:D,[1]Sheet1!A:A,A279,[1]Sheet1!E:E,"Materia Prima")</f>
        <v>0</v>
      </c>
      <c r="G279" s="2">
        <f t="shared" si="16"/>
        <v>5.4340000000000002</v>
      </c>
      <c r="H279">
        <f t="shared" si="17"/>
        <v>1</v>
      </c>
      <c r="I279" s="2">
        <f t="shared" si="18"/>
        <v>0</v>
      </c>
      <c r="J279" s="2">
        <f t="shared" si="19"/>
        <v>5.4340000000000002</v>
      </c>
    </row>
    <row r="280" spans="1:10" x14ac:dyDescent="0.3">
      <c r="A280">
        <v>1000017236</v>
      </c>
      <c r="B280" s="1">
        <f>VLOOKUP(A280,[1]Sheet1!A:B,2,FALSE)</f>
        <v>40557</v>
      </c>
      <c r="C280" s="2">
        <v>0</v>
      </c>
      <c r="D280" s="2">
        <f>SUMIFS([1]Sheet1!D:D,[1]Sheet1!A:A,A280,[1]Sheet1!E:E,"Figurado")</f>
        <v>29.6</v>
      </c>
      <c r="E280" s="2">
        <f>SUMIFS([1]Sheet1!D:D,[1]Sheet1!A:A,A280,[1]Sheet1!E:E,"Mallas")</f>
        <v>0</v>
      </c>
      <c r="F280" s="2">
        <f>SUMIFS([1]Sheet1!D:D,[1]Sheet1!A:A,A280,[1]Sheet1!E:E,"Materia Prima")</f>
        <v>0</v>
      </c>
      <c r="G280" s="2">
        <f t="shared" si="16"/>
        <v>1.1384615384615385E-2</v>
      </c>
      <c r="H280">
        <f t="shared" si="17"/>
        <v>1</v>
      </c>
      <c r="I280" s="2">
        <f t="shared" si="18"/>
        <v>1.1384615384615385E-2</v>
      </c>
      <c r="J280" s="2">
        <f t="shared" si="19"/>
        <v>0</v>
      </c>
    </row>
    <row r="281" spans="1:10" x14ac:dyDescent="0.3">
      <c r="A281">
        <v>1000017237</v>
      </c>
      <c r="B281" s="1">
        <f>VLOOKUP(A281,[1]Sheet1!A:B,2,FALSE)</f>
        <v>40557</v>
      </c>
      <c r="C281" s="2">
        <v>0</v>
      </c>
      <c r="D281" s="2">
        <f>SUMIFS([1]Sheet1!D:D,[1]Sheet1!A:A,A281,[1]Sheet1!E:E,"Figurado")</f>
        <v>247.8</v>
      </c>
      <c r="E281" s="2">
        <f>SUMIFS([1]Sheet1!D:D,[1]Sheet1!A:A,A281,[1]Sheet1!E:E,"Mallas")</f>
        <v>0</v>
      </c>
      <c r="F281" s="2">
        <f>SUMIFS([1]Sheet1!D:D,[1]Sheet1!A:A,A281,[1]Sheet1!E:E,"Materia Prima")</f>
        <v>0</v>
      </c>
      <c r="G281" s="2">
        <f t="shared" si="16"/>
        <v>9.5307692307692315E-2</v>
      </c>
      <c r="H281">
        <f t="shared" si="17"/>
        <v>1</v>
      </c>
      <c r="I281" s="2">
        <f t="shared" si="18"/>
        <v>9.5307692307692315E-2</v>
      </c>
      <c r="J281" s="2">
        <f t="shared" si="19"/>
        <v>0</v>
      </c>
    </row>
    <row r="282" spans="1:10" x14ac:dyDescent="0.3">
      <c r="A282">
        <v>1000017247</v>
      </c>
      <c r="B282" s="1">
        <f>VLOOKUP(A282,[1]Sheet1!A:B,2,FALSE)</f>
        <v>40557</v>
      </c>
      <c r="C282" s="2">
        <v>0</v>
      </c>
      <c r="D282" s="2">
        <f>SUMIFS([1]Sheet1!D:D,[1]Sheet1!A:A,A282,[1]Sheet1!E:E,"Figurado")</f>
        <v>0</v>
      </c>
      <c r="E282" s="2">
        <f>SUMIFS([1]Sheet1!D:D,[1]Sheet1!A:A,A282,[1]Sheet1!E:E,"Mallas")</f>
        <v>0</v>
      </c>
      <c r="F282" s="2">
        <f>SUMIFS([1]Sheet1!D:D,[1]Sheet1!A:A,A282,[1]Sheet1!E:E,"Materia Prima")</f>
        <v>34052.101600000002</v>
      </c>
      <c r="G282" s="2">
        <f t="shared" si="16"/>
        <v>0</v>
      </c>
      <c r="H282">
        <f t="shared" si="17"/>
        <v>1</v>
      </c>
      <c r="I282" s="2">
        <f t="shared" si="18"/>
        <v>0</v>
      </c>
      <c r="J282" s="2">
        <f t="shared" si="19"/>
        <v>0</v>
      </c>
    </row>
    <row r="283" spans="1:10" x14ac:dyDescent="0.3">
      <c r="A283">
        <v>1000017249</v>
      </c>
      <c r="B283" s="1">
        <f>VLOOKUP(A283,[1]Sheet1!A:B,2,FALSE)</f>
        <v>40557</v>
      </c>
      <c r="C283" s="2">
        <v>0</v>
      </c>
      <c r="D283" s="2">
        <f>SUMIFS([1]Sheet1!D:D,[1]Sheet1!A:A,A283,[1]Sheet1!E:E,"Figurado")</f>
        <v>144.6</v>
      </c>
      <c r="E283" s="2">
        <f>SUMIFS([1]Sheet1!D:D,[1]Sheet1!A:A,A283,[1]Sheet1!E:E,"Mallas")</f>
        <v>0</v>
      </c>
      <c r="F283" s="2">
        <f>SUMIFS([1]Sheet1!D:D,[1]Sheet1!A:A,A283,[1]Sheet1!E:E,"Materia Prima")</f>
        <v>2743.2</v>
      </c>
      <c r="G283" s="2">
        <f t="shared" si="16"/>
        <v>5.5615384615384615E-2</v>
      </c>
      <c r="H283">
        <f t="shared" si="17"/>
        <v>2</v>
      </c>
      <c r="I283" s="2">
        <f t="shared" si="18"/>
        <v>5.5615384615384615E-2</v>
      </c>
      <c r="J283" s="2">
        <f t="shared" si="19"/>
        <v>0</v>
      </c>
    </row>
    <row r="284" spans="1:10" x14ac:dyDescent="0.3">
      <c r="A284">
        <v>1000017253</v>
      </c>
      <c r="B284" s="1">
        <f>VLOOKUP(A284,[1]Sheet1!A:B,2,FALSE)</f>
        <v>40557</v>
      </c>
      <c r="C284" s="2">
        <v>0</v>
      </c>
      <c r="D284" s="2">
        <f>SUMIFS([1]Sheet1!D:D,[1]Sheet1!A:A,A284,[1]Sheet1!E:E,"Figurado")</f>
        <v>6406.1</v>
      </c>
      <c r="E284" s="2">
        <f>SUMIFS([1]Sheet1!D:D,[1]Sheet1!A:A,A284,[1]Sheet1!E:E,"Mallas")</f>
        <v>0</v>
      </c>
      <c r="F284" s="2">
        <f>SUMIFS([1]Sheet1!D:D,[1]Sheet1!A:A,A284,[1]Sheet1!E:E,"Materia Prima")</f>
        <v>0</v>
      </c>
      <c r="G284" s="2">
        <f t="shared" si="16"/>
        <v>2.4638846153846155</v>
      </c>
      <c r="H284">
        <f t="shared" si="17"/>
        <v>1</v>
      </c>
      <c r="I284" s="2">
        <f t="shared" si="18"/>
        <v>2.4638846153846155</v>
      </c>
      <c r="J284" s="2">
        <f t="shared" si="19"/>
        <v>0</v>
      </c>
    </row>
    <row r="285" spans="1:10" x14ac:dyDescent="0.3">
      <c r="A285">
        <v>1000017254</v>
      </c>
      <c r="B285" s="1">
        <f>VLOOKUP(A285,[1]Sheet1!A:B,2,FALSE)</f>
        <v>40557</v>
      </c>
      <c r="C285" s="2">
        <v>0</v>
      </c>
      <c r="D285" s="2">
        <f>SUMIFS([1]Sheet1!D:D,[1]Sheet1!A:A,A285,[1]Sheet1!E:E,"Figurado")</f>
        <v>1921.9</v>
      </c>
      <c r="E285" s="2">
        <f>SUMIFS([1]Sheet1!D:D,[1]Sheet1!A:A,A285,[1]Sheet1!E:E,"Mallas")</f>
        <v>0</v>
      </c>
      <c r="F285" s="2">
        <f>SUMIFS([1]Sheet1!D:D,[1]Sheet1!A:A,A285,[1]Sheet1!E:E,"Materia Prima")</f>
        <v>0</v>
      </c>
      <c r="G285" s="2">
        <f t="shared" si="16"/>
        <v>0.7391923076923077</v>
      </c>
      <c r="H285">
        <f t="shared" si="17"/>
        <v>1</v>
      </c>
      <c r="I285" s="2">
        <f t="shared" si="18"/>
        <v>0.7391923076923077</v>
      </c>
      <c r="J285" s="2">
        <f t="shared" si="19"/>
        <v>0</v>
      </c>
    </row>
    <row r="286" spans="1:10" x14ac:dyDescent="0.3">
      <c r="A286">
        <v>1000017255</v>
      </c>
      <c r="B286" s="1">
        <f>VLOOKUP(A286,[1]Sheet1!A:B,2,FALSE)</f>
        <v>40557</v>
      </c>
      <c r="C286" s="2">
        <v>0</v>
      </c>
      <c r="D286" s="2">
        <f>SUMIFS([1]Sheet1!D:D,[1]Sheet1!A:A,A286,[1]Sheet1!E:E,"Figurado")</f>
        <v>1303.8</v>
      </c>
      <c r="E286" s="2">
        <f>SUMIFS([1]Sheet1!D:D,[1]Sheet1!A:A,A286,[1]Sheet1!E:E,"Mallas")</f>
        <v>0</v>
      </c>
      <c r="F286" s="2">
        <f>SUMIFS([1]Sheet1!D:D,[1]Sheet1!A:A,A286,[1]Sheet1!E:E,"Materia Prima")</f>
        <v>0</v>
      </c>
      <c r="G286" s="2">
        <f t="shared" si="16"/>
        <v>0.5014615384615384</v>
      </c>
      <c r="H286">
        <f t="shared" si="17"/>
        <v>1</v>
      </c>
      <c r="I286" s="2">
        <f t="shared" si="18"/>
        <v>0.5014615384615384</v>
      </c>
      <c r="J286" s="2">
        <f t="shared" si="19"/>
        <v>0</v>
      </c>
    </row>
    <row r="287" spans="1:10" x14ac:dyDescent="0.3">
      <c r="A287">
        <v>1000017256</v>
      </c>
      <c r="B287" s="1">
        <f>VLOOKUP(A287,[1]Sheet1!A:B,2,FALSE)</f>
        <v>40557</v>
      </c>
      <c r="C287" s="2">
        <v>0</v>
      </c>
      <c r="D287" s="2">
        <f>SUMIFS([1]Sheet1!D:D,[1]Sheet1!A:A,A287,[1]Sheet1!E:E,"Figurado")</f>
        <v>989.6</v>
      </c>
      <c r="E287" s="2">
        <f>SUMIFS([1]Sheet1!D:D,[1]Sheet1!A:A,A287,[1]Sheet1!E:E,"Mallas")</f>
        <v>0</v>
      </c>
      <c r="F287" s="2">
        <f>SUMIFS([1]Sheet1!D:D,[1]Sheet1!A:A,A287,[1]Sheet1!E:E,"Materia Prima")</f>
        <v>0</v>
      </c>
      <c r="G287" s="2">
        <f t="shared" si="16"/>
        <v>0.38061538461538463</v>
      </c>
      <c r="H287">
        <f t="shared" si="17"/>
        <v>1</v>
      </c>
      <c r="I287" s="2">
        <f t="shared" si="18"/>
        <v>0.38061538461538463</v>
      </c>
      <c r="J287" s="2">
        <f t="shared" si="19"/>
        <v>0</v>
      </c>
    </row>
    <row r="288" spans="1:10" x14ac:dyDescent="0.3">
      <c r="A288">
        <v>1000017258</v>
      </c>
      <c r="B288" s="1">
        <f>VLOOKUP(A288,[1]Sheet1!A:B,2,FALSE)</f>
        <v>40557</v>
      </c>
      <c r="C288" s="2">
        <v>0</v>
      </c>
      <c r="D288" s="2">
        <f>SUMIFS([1]Sheet1!D:D,[1]Sheet1!A:A,A288,[1]Sheet1!E:E,"Figurado")</f>
        <v>0</v>
      </c>
      <c r="E288" s="2">
        <f>SUMIFS([1]Sheet1!D:D,[1]Sheet1!A:A,A288,[1]Sheet1!E:E,"Mallas")</f>
        <v>3866</v>
      </c>
      <c r="F288" s="2">
        <f>SUMIFS([1]Sheet1!D:D,[1]Sheet1!A:A,A288,[1]Sheet1!E:E,"Materia Prima")</f>
        <v>0</v>
      </c>
      <c r="G288" s="2">
        <f t="shared" si="16"/>
        <v>4.8324999999999996</v>
      </c>
      <c r="H288">
        <f t="shared" si="17"/>
        <v>1</v>
      </c>
      <c r="I288" s="2">
        <f t="shared" si="18"/>
        <v>0</v>
      </c>
      <c r="J288" s="2">
        <f t="shared" si="19"/>
        <v>4.8324999999999996</v>
      </c>
    </row>
    <row r="289" spans="1:10" x14ac:dyDescent="0.3">
      <c r="A289">
        <v>1000017259</v>
      </c>
      <c r="B289" s="1">
        <f>VLOOKUP(A289,[1]Sheet1!A:B,2,FALSE)</f>
        <v>40557</v>
      </c>
      <c r="C289" s="2">
        <v>0</v>
      </c>
      <c r="D289" s="2">
        <f>SUMIFS([1]Sheet1!D:D,[1]Sheet1!A:A,A289,[1]Sheet1!E:E,"Figurado")</f>
        <v>0</v>
      </c>
      <c r="E289" s="2">
        <f>SUMIFS([1]Sheet1!D:D,[1]Sheet1!A:A,A289,[1]Sheet1!E:E,"Mallas")</f>
        <v>263</v>
      </c>
      <c r="F289" s="2">
        <f>SUMIFS([1]Sheet1!D:D,[1]Sheet1!A:A,A289,[1]Sheet1!E:E,"Materia Prima")</f>
        <v>0</v>
      </c>
      <c r="G289" s="2">
        <f t="shared" si="16"/>
        <v>0.32874999999999999</v>
      </c>
      <c r="H289">
        <f t="shared" si="17"/>
        <v>1</v>
      </c>
      <c r="I289" s="2">
        <f t="shared" si="18"/>
        <v>0</v>
      </c>
      <c r="J289" s="2">
        <f t="shared" si="19"/>
        <v>0.32874999999999999</v>
      </c>
    </row>
    <row r="290" spans="1:10" x14ac:dyDescent="0.3">
      <c r="A290">
        <v>1000017260</v>
      </c>
      <c r="B290" s="1">
        <f>VLOOKUP(A290,[1]Sheet1!A:B,2,FALSE)</f>
        <v>40557</v>
      </c>
      <c r="C290" s="2">
        <v>0</v>
      </c>
      <c r="D290" s="2">
        <f>SUMIFS([1]Sheet1!D:D,[1]Sheet1!A:A,A290,[1]Sheet1!E:E,"Figurado")</f>
        <v>0</v>
      </c>
      <c r="E290" s="2">
        <f>SUMIFS([1]Sheet1!D:D,[1]Sheet1!A:A,A290,[1]Sheet1!E:E,"Mallas")</f>
        <v>0</v>
      </c>
      <c r="F290" s="2">
        <f>SUMIFS([1]Sheet1!D:D,[1]Sheet1!A:A,A290,[1]Sheet1!E:E,"Materia Prima")</f>
        <v>1017</v>
      </c>
      <c r="G290" s="2">
        <f t="shared" si="16"/>
        <v>0</v>
      </c>
      <c r="H290">
        <f t="shared" si="17"/>
        <v>1</v>
      </c>
      <c r="I290" s="2">
        <f t="shared" si="18"/>
        <v>0</v>
      </c>
      <c r="J290" s="2">
        <f t="shared" si="19"/>
        <v>0</v>
      </c>
    </row>
    <row r="291" spans="1:10" x14ac:dyDescent="0.3">
      <c r="A291">
        <v>1000017266</v>
      </c>
      <c r="B291" s="1">
        <f>VLOOKUP(A291,[1]Sheet1!A:B,2,FALSE)</f>
        <v>40558</v>
      </c>
      <c r="C291" s="2">
        <v>0</v>
      </c>
      <c r="D291" s="2">
        <f>SUMIFS([1]Sheet1!D:D,[1]Sheet1!A:A,A291,[1]Sheet1!E:E,"Figurado")</f>
        <v>3476.4</v>
      </c>
      <c r="E291" s="2">
        <f>SUMIFS([1]Sheet1!D:D,[1]Sheet1!A:A,A291,[1]Sheet1!E:E,"Mallas")</f>
        <v>0</v>
      </c>
      <c r="F291" s="2">
        <f>SUMIFS([1]Sheet1!D:D,[1]Sheet1!A:A,A291,[1]Sheet1!E:E,"Materia Prima")</f>
        <v>0</v>
      </c>
      <c r="G291" s="2">
        <f t="shared" si="16"/>
        <v>1.3370769230769231</v>
      </c>
      <c r="H291">
        <f t="shared" si="17"/>
        <v>1</v>
      </c>
      <c r="I291" s="2">
        <f t="shared" si="18"/>
        <v>1.3370769230769231</v>
      </c>
      <c r="J291" s="2">
        <f t="shared" si="19"/>
        <v>0</v>
      </c>
    </row>
    <row r="292" spans="1:10" x14ac:dyDescent="0.3">
      <c r="A292">
        <v>1000017267</v>
      </c>
      <c r="B292" s="1">
        <f>VLOOKUP(A292,[1]Sheet1!A:B,2,FALSE)</f>
        <v>40558</v>
      </c>
      <c r="C292" s="2">
        <v>0</v>
      </c>
      <c r="D292" s="2">
        <f>SUMIFS([1]Sheet1!D:D,[1]Sheet1!A:A,A292,[1]Sheet1!E:E,"Figurado")</f>
        <v>5320.6</v>
      </c>
      <c r="E292" s="2">
        <f>SUMIFS([1]Sheet1!D:D,[1]Sheet1!A:A,A292,[1]Sheet1!E:E,"Mallas")</f>
        <v>0</v>
      </c>
      <c r="F292" s="2">
        <f>SUMIFS([1]Sheet1!D:D,[1]Sheet1!A:A,A292,[1]Sheet1!E:E,"Materia Prima")</f>
        <v>0</v>
      </c>
      <c r="G292" s="2">
        <f t="shared" si="16"/>
        <v>2.0463846153846155</v>
      </c>
      <c r="H292">
        <f t="shared" si="17"/>
        <v>1</v>
      </c>
      <c r="I292" s="2">
        <f t="shared" si="18"/>
        <v>2.0463846153846155</v>
      </c>
      <c r="J292" s="2">
        <f t="shared" si="19"/>
        <v>0</v>
      </c>
    </row>
    <row r="293" spans="1:10" x14ac:dyDescent="0.3">
      <c r="A293">
        <v>1000017268</v>
      </c>
      <c r="B293" s="1">
        <f>VLOOKUP(A293,[1]Sheet1!A:B,2,FALSE)</f>
        <v>40558</v>
      </c>
      <c r="C293" s="2">
        <v>0</v>
      </c>
      <c r="D293" s="2">
        <f>SUMIFS([1]Sheet1!D:D,[1]Sheet1!A:A,A293,[1]Sheet1!E:E,"Figurado")</f>
        <v>1177.9000000000001</v>
      </c>
      <c r="E293" s="2">
        <f>SUMIFS([1]Sheet1!D:D,[1]Sheet1!A:A,A293,[1]Sheet1!E:E,"Mallas")</f>
        <v>0</v>
      </c>
      <c r="F293" s="2">
        <f>SUMIFS([1]Sheet1!D:D,[1]Sheet1!A:A,A293,[1]Sheet1!E:E,"Materia Prima")</f>
        <v>0</v>
      </c>
      <c r="G293" s="2">
        <f t="shared" si="16"/>
        <v>0.45303846153846156</v>
      </c>
      <c r="H293">
        <f t="shared" si="17"/>
        <v>1</v>
      </c>
      <c r="I293" s="2">
        <f t="shared" si="18"/>
        <v>0.45303846153846156</v>
      </c>
      <c r="J293" s="2">
        <f t="shared" si="19"/>
        <v>0</v>
      </c>
    </row>
    <row r="294" spans="1:10" x14ac:dyDescent="0.3">
      <c r="A294">
        <v>1000017269</v>
      </c>
      <c r="B294" s="1">
        <f>VLOOKUP(A294,[1]Sheet1!A:B,2,FALSE)</f>
        <v>40558</v>
      </c>
      <c r="C294" s="2">
        <v>0</v>
      </c>
      <c r="D294" s="2">
        <f>SUMIFS([1]Sheet1!D:D,[1]Sheet1!A:A,A294,[1]Sheet1!E:E,"Figurado")</f>
        <v>1807.8</v>
      </c>
      <c r="E294" s="2">
        <f>SUMIFS([1]Sheet1!D:D,[1]Sheet1!A:A,A294,[1]Sheet1!E:E,"Mallas")</f>
        <v>0</v>
      </c>
      <c r="F294" s="2">
        <f>SUMIFS([1]Sheet1!D:D,[1]Sheet1!A:A,A294,[1]Sheet1!E:E,"Materia Prima")</f>
        <v>0</v>
      </c>
      <c r="G294" s="2">
        <f t="shared" si="16"/>
        <v>0.69530769230769229</v>
      </c>
      <c r="H294">
        <f t="shared" si="17"/>
        <v>1</v>
      </c>
      <c r="I294" s="2">
        <f t="shared" si="18"/>
        <v>0.69530769230769229</v>
      </c>
      <c r="J294" s="2">
        <f t="shared" si="19"/>
        <v>0</v>
      </c>
    </row>
    <row r="295" spans="1:10" x14ac:dyDescent="0.3">
      <c r="A295">
        <v>1000017270</v>
      </c>
      <c r="B295" s="1">
        <f>VLOOKUP(A295,[1]Sheet1!A:B,2,FALSE)</f>
        <v>40558</v>
      </c>
      <c r="C295" s="2">
        <v>0</v>
      </c>
      <c r="D295" s="2">
        <f>SUMIFS([1]Sheet1!D:D,[1]Sheet1!A:A,A295,[1]Sheet1!E:E,"Figurado")</f>
        <v>2623</v>
      </c>
      <c r="E295" s="2">
        <f>SUMIFS([1]Sheet1!D:D,[1]Sheet1!A:A,A295,[1]Sheet1!E:E,"Mallas")</f>
        <v>0</v>
      </c>
      <c r="F295" s="2">
        <f>SUMIFS([1]Sheet1!D:D,[1]Sheet1!A:A,A295,[1]Sheet1!E:E,"Materia Prima")</f>
        <v>0</v>
      </c>
      <c r="G295" s="2">
        <f t="shared" si="16"/>
        <v>1.0088461538461539</v>
      </c>
      <c r="H295">
        <f t="shared" si="17"/>
        <v>1</v>
      </c>
      <c r="I295" s="2">
        <f t="shared" si="18"/>
        <v>1.0088461538461539</v>
      </c>
      <c r="J295" s="2">
        <f t="shared" si="19"/>
        <v>0</v>
      </c>
    </row>
    <row r="296" spans="1:10" x14ac:dyDescent="0.3">
      <c r="A296">
        <v>1000017272</v>
      </c>
      <c r="B296" s="1">
        <f>VLOOKUP(A296,[1]Sheet1!A:B,2,FALSE)</f>
        <v>40558</v>
      </c>
      <c r="C296" s="2">
        <v>0</v>
      </c>
      <c r="D296" s="2">
        <f>SUMIFS([1]Sheet1!D:D,[1]Sheet1!A:A,A296,[1]Sheet1!E:E,"Figurado")</f>
        <v>293.8</v>
      </c>
      <c r="E296" s="2">
        <f>SUMIFS([1]Sheet1!D:D,[1]Sheet1!A:A,A296,[1]Sheet1!E:E,"Mallas")</f>
        <v>0</v>
      </c>
      <c r="F296" s="2">
        <f>SUMIFS([1]Sheet1!D:D,[1]Sheet1!A:A,A296,[1]Sheet1!E:E,"Materia Prima")</f>
        <v>0</v>
      </c>
      <c r="G296" s="2">
        <f t="shared" si="16"/>
        <v>0.113</v>
      </c>
      <c r="H296">
        <f t="shared" si="17"/>
        <v>1</v>
      </c>
      <c r="I296" s="2">
        <f t="shared" si="18"/>
        <v>0.113</v>
      </c>
      <c r="J296" s="2">
        <f t="shared" si="19"/>
        <v>0</v>
      </c>
    </row>
    <row r="297" spans="1:10" x14ac:dyDescent="0.3">
      <c r="A297">
        <v>1000017273</v>
      </c>
      <c r="B297" s="1">
        <f>VLOOKUP(A297,[1]Sheet1!A:B,2,FALSE)</f>
        <v>40558</v>
      </c>
      <c r="C297" s="2">
        <v>0</v>
      </c>
      <c r="D297" s="2">
        <f>SUMIFS([1]Sheet1!D:D,[1]Sheet1!A:A,A297,[1]Sheet1!E:E,"Figurado")</f>
        <v>1438</v>
      </c>
      <c r="E297" s="2">
        <f>SUMIFS([1]Sheet1!D:D,[1]Sheet1!A:A,A297,[1]Sheet1!E:E,"Mallas")</f>
        <v>0</v>
      </c>
      <c r="F297" s="2">
        <f>SUMIFS([1]Sheet1!D:D,[1]Sheet1!A:A,A297,[1]Sheet1!E:E,"Materia Prima")</f>
        <v>0</v>
      </c>
      <c r="G297" s="2">
        <f t="shared" si="16"/>
        <v>0.55307692307692302</v>
      </c>
      <c r="H297">
        <f t="shared" si="17"/>
        <v>1</v>
      </c>
      <c r="I297" s="2">
        <f t="shared" si="18"/>
        <v>0.55307692307692302</v>
      </c>
      <c r="J297" s="2">
        <f t="shared" si="19"/>
        <v>0</v>
      </c>
    </row>
    <row r="298" spans="1:10" x14ac:dyDescent="0.3">
      <c r="A298">
        <v>1000017274</v>
      </c>
      <c r="B298" s="1">
        <f>VLOOKUP(A298,[1]Sheet1!A:B,2,FALSE)</f>
        <v>40558</v>
      </c>
      <c r="C298" s="2">
        <v>0</v>
      </c>
      <c r="D298" s="2">
        <f>SUMIFS([1]Sheet1!D:D,[1]Sheet1!A:A,A298,[1]Sheet1!E:E,"Figurado")</f>
        <v>999.5</v>
      </c>
      <c r="E298" s="2">
        <f>SUMIFS([1]Sheet1!D:D,[1]Sheet1!A:A,A298,[1]Sheet1!E:E,"Mallas")</f>
        <v>0</v>
      </c>
      <c r="F298" s="2">
        <f>SUMIFS([1]Sheet1!D:D,[1]Sheet1!A:A,A298,[1]Sheet1!E:E,"Materia Prima")</f>
        <v>0</v>
      </c>
      <c r="G298" s="2">
        <f t="shared" si="16"/>
        <v>0.38442307692307692</v>
      </c>
      <c r="H298">
        <f t="shared" si="17"/>
        <v>1</v>
      </c>
      <c r="I298" s="2">
        <f t="shared" si="18"/>
        <v>0.38442307692307692</v>
      </c>
      <c r="J298" s="2">
        <f t="shared" si="19"/>
        <v>0</v>
      </c>
    </row>
    <row r="299" spans="1:10" x14ac:dyDescent="0.3">
      <c r="A299">
        <v>1000017278</v>
      </c>
      <c r="B299" s="1">
        <f>VLOOKUP(A299,[1]Sheet1!A:B,2,FALSE)</f>
        <v>40558</v>
      </c>
      <c r="C299" s="2">
        <v>0</v>
      </c>
      <c r="D299" s="2">
        <f>SUMIFS([1]Sheet1!D:D,[1]Sheet1!A:A,A299,[1]Sheet1!E:E,"Figurado")</f>
        <v>7372</v>
      </c>
      <c r="E299" s="2">
        <f>SUMIFS([1]Sheet1!D:D,[1]Sheet1!A:A,A299,[1]Sheet1!E:E,"Mallas")</f>
        <v>0</v>
      </c>
      <c r="F299" s="2">
        <f>SUMIFS([1]Sheet1!D:D,[1]Sheet1!A:A,A299,[1]Sheet1!E:E,"Materia Prima")</f>
        <v>0</v>
      </c>
      <c r="G299" s="2">
        <f t="shared" si="16"/>
        <v>2.8353846153846152</v>
      </c>
      <c r="H299">
        <f t="shared" si="17"/>
        <v>1</v>
      </c>
      <c r="I299" s="2">
        <f t="shared" si="18"/>
        <v>2.8353846153846152</v>
      </c>
      <c r="J299" s="2">
        <f t="shared" si="19"/>
        <v>0</v>
      </c>
    </row>
    <row r="300" spans="1:10" x14ac:dyDescent="0.3">
      <c r="A300">
        <v>1000017279</v>
      </c>
      <c r="B300" s="1">
        <f>VLOOKUP(A300,[1]Sheet1!A:B,2,FALSE)</f>
        <v>40558</v>
      </c>
      <c r="C300" s="2">
        <v>0</v>
      </c>
      <c r="D300" s="2">
        <f>SUMIFS([1]Sheet1!D:D,[1]Sheet1!A:A,A300,[1]Sheet1!E:E,"Figurado")</f>
        <v>0</v>
      </c>
      <c r="E300" s="2">
        <f>SUMIFS([1]Sheet1!D:D,[1]Sheet1!A:A,A300,[1]Sheet1!E:E,"Mallas")</f>
        <v>0</v>
      </c>
      <c r="F300" s="2">
        <f>SUMIFS([1]Sheet1!D:D,[1]Sheet1!A:A,A300,[1]Sheet1!E:E,"Materia Prima")</f>
        <v>4368</v>
      </c>
      <c r="G300" s="2">
        <f t="shared" si="16"/>
        <v>0</v>
      </c>
      <c r="H300">
        <f t="shared" si="17"/>
        <v>1</v>
      </c>
      <c r="I300" s="2">
        <f t="shared" si="18"/>
        <v>0</v>
      </c>
      <c r="J300" s="2">
        <f t="shared" si="19"/>
        <v>0</v>
      </c>
    </row>
    <row r="301" spans="1:10" x14ac:dyDescent="0.3">
      <c r="A301">
        <v>1000017281</v>
      </c>
      <c r="B301" s="1">
        <f>VLOOKUP(A301,[1]Sheet1!A:B,2,FALSE)</f>
        <v>40558</v>
      </c>
      <c r="C301" s="2">
        <v>0</v>
      </c>
      <c r="D301" s="2">
        <f>SUMIFS([1]Sheet1!D:D,[1]Sheet1!A:A,A301,[1]Sheet1!E:E,"Figurado")</f>
        <v>2167.1999999999998</v>
      </c>
      <c r="E301" s="2">
        <f>SUMIFS([1]Sheet1!D:D,[1]Sheet1!A:A,A301,[1]Sheet1!E:E,"Mallas")</f>
        <v>0</v>
      </c>
      <c r="F301" s="2">
        <f>SUMIFS([1]Sheet1!D:D,[1]Sheet1!A:A,A301,[1]Sheet1!E:E,"Materia Prima")</f>
        <v>940.3</v>
      </c>
      <c r="G301" s="2">
        <f t="shared" si="16"/>
        <v>0.83353846153846145</v>
      </c>
      <c r="H301">
        <f t="shared" si="17"/>
        <v>2</v>
      </c>
      <c r="I301" s="2">
        <f t="shared" si="18"/>
        <v>0.83353846153846145</v>
      </c>
      <c r="J301" s="2">
        <f t="shared" si="19"/>
        <v>0</v>
      </c>
    </row>
    <row r="302" spans="1:10" x14ac:dyDescent="0.3">
      <c r="A302">
        <v>1000017282</v>
      </c>
      <c r="B302" s="1">
        <f>VLOOKUP(A302,[1]Sheet1!A:B,2,FALSE)</f>
        <v>40558</v>
      </c>
      <c r="C302" s="2">
        <v>0</v>
      </c>
      <c r="D302" s="2">
        <f>SUMIFS([1]Sheet1!D:D,[1]Sheet1!A:A,A302,[1]Sheet1!E:E,"Figurado")</f>
        <v>4122.8999999999996</v>
      </c>
      <c r="E302" s="2">
        <f>SUMIFS([1]Sheet1!D:D,[1]Sheet1!A:A,A302,[1]Sheet1!E:E,"Mallas")</f>
        <v>0</v>
      </c>
      <c r="F302" s="2">
        <f>SUMIFS([1]Sheet1!D:D,[1]Sheet1!A:A,A302,[1]Sheet1!E:E,"Materia Prima")</f>
        <v>768</v>
      </c>
      <c r="G302" s="2">
        <f t="shared" si="16"/>
        <v>1.5857307692307692</v>
      </c>
      <c r="H302">
        <f t="shared" si="17"/>
        <v>2</v>
      </c>
      <c r="I302" s="2">
        <f t="shared" si="18"/>
        <v>1.5857307692307692</v>
      </c>
      <c r="J302" s="2">
        <f t="shared" si="19"/>
        <v>0</v>
      </c>
    </row>
    <row r="303" spans="1:10" x14ac:dyDescent="0.3">
      <c r="A303">
        <v>1000017283</v>
      </c>
      <c r="B303" s="1">
        <f>VLOOKUP(A303,[1]Sheet1!A:B,2,FALSE)</f>
        <v>40560</v>
      </c>
      <c r="C303" s="2">
        <v>0</v>
      </c>
      <c r="D303" s="2">
        <f>SUMIFS([1]Sheet1!D:D,[1]Sheet1!A:A,A303,[1]Sheet1!E:E,"Figurado")</f>
        <v>774.4</v>
      </c>
      <c r="E303" s="2">
        <f>SUMIFS([1]Sheet1!D:D,[1]Sheet1!A:A,A303,[1]Sheet1!E:E,"Mallas")</f>
        <v>0</v>
      </c>
      <c r="F303" s="2">
        <f>SUMIFS([1]Sheet1!D:D,[1]Sheet1!A:A,A303,[1]Sheet1!E:E,"Materia Prima")</f>
        <v>0</v>
      </c>
      <c r="G303" s="2">
        <f t="shared" si="16"/>
        <v>0.29784615384615382</v>
      </c>
      <c r="H303">
        <f t="shared" si="17"/>
        <v>1</v>
      </c>
      <c r="I303" s="2">
        <f t="shared" si="18"/>
        <v>0.29784615384615382</v>
      </c>
      <c r="J303" s="2">
        <f t="shared" si="19"/>
        <v>0</v>
      </c>
    </row>
    <row r="304" spans="1:10" x14ac:dyDescent="0.3">
      <c r="A304">
        <v>1000017284</v>
      </c>
      <c r="B304" s="1">
        <f>VLOOKUP(A304,[1]Sheet1!A:B,2,FALSE)</f>
        <v>40560</v>
      </c>
      <c r="C304" s="2">
        <v>0</v>
      </c>
      <c r="D304" s="2">
        <f>SUMIFS([1]Sheet1!D:D,[1]Sheet1!A:A,A304,[1]Sheet1!E:E,"Figurado")</f>
        <v>3481.4</v>
      </c>
      <c r="E304" s="2">
        <f>SUMIFS([1]Sheet1!D:D,[1]Sheet1!A:A,A304,[1]Sheet1!E:E,"Mallas")</f>
        <v>0</v>
      </c>
      <c r="F304" s="2">
        <f>SUMIFS([1]Sheet1!D:D,[1]Sheet1!A:A,A304,[1]Sheet1!E:E,"Materia Prima")</f>
        <v>0</v>
      </c>
      <c r="G304" s="2">
        <f t="shared" si="16"/>
        <v>1.339</v>
      </c>
      <c r="H304">
        <f t="shared" si="17"/>
        <v>1</v>
      </c>
      <c r="I304" s="2">
        <f t="shared" si="18"/>
        <v>1.339</v>
      </c>
      <c r="J304" s="2">
        <f t="shared" si="19"/>
        <v>0</v>
      </c>
    </row>
    <row r="305" spans="1:10" x14ac:dyDescent="0.3">
      <c r="A305">
        <v>1000017285</v>
      </c>
      <c r="B305" s="1">
        <f>VLOOKUP(A305,[1]Sheet1!A:B,2,FALSE)</f>
        <v>40560</v>
      </c>
      <c r="C305" s="2">
        <v>0</v>
      </c>
      <c r="D305" s="2">
        <f>SUMIFS([1]Sheet1!D:D,[1]Sheet1!A:A,A305,[1]Sheet1!E:E,"Figurado")</f>
        <v>1779.1</v>
      </c>
      <c r="E305" s="2">
        <f>SUMIFS([1]Sheet1!D:D,[1]Sheet1!A:A,A305,[1]Sheet1!E:E,"Mallas")</f>
        <v>0</v>
      </c>
      <c r="F305" s="2">
        <f>SUMIFS([1]Sheet1!D:D,[1]Sheet1!A:A,A305,[1]Sheet1!E:E,"Materia Prima")</f>
        <v>182.9</v>
      </c>
      <c r="G305" s="2">
        <f t="shared" si="16"/>
        <v>0.68426923076923074</v>
      </c>
      <c r="H305">
        <f t="shared" si="17"/>
        <v>2</v>
      </c>
      <c r="I305" s="2">
        <f t="shared" si="18"/>
        <v>0.68426923076923074</v>
      </c>
      <c r="J305" s="2">
        <f t="shared" si="19"/>
        <v>0</v>
      </c>
    </row>
    <row r="306" spans="1:10" x14ac:dyDescent="0.3">
      <c r="A306">
        <v>1000017289</v>
      </c>
      <c r="B306" s="1">
        <f>VLOOKUP(A306,[1]Sheet1!A:B,2,FALSE)</f>
        <v>40560</v>
      </c>
      <c r="C306" s="2">
        <v>0</v>
      </c>
      <c r="D306" s="2">
        <f>SUMIFS([1]Sheet1!D:D,[1]Sheet1!A:A,A306,[1]Sheet1!E:E,"Figurado")</f>
        <v>1033.9000000000001</v>
      </c>
      <c r="E306" s="2">
        <f>SUMIFS([1]Sheet1!D:D,[1]Sheet1!A:A,A306,[1]Sheet1!E:E,"Mallas")</f>
        <v>0</v>
      </c>
      <c r="F306" s="2">
        <f>SUMIFS([1]Sheet1!D:D,[1]Sheet1!A:A,A306,[1]Sheet1!E:E,"Materia Prima")</f>
        <v>0</v>
      </c>
      <c r="G306" s="2">
        <f t="shared" si="16"/>
        <v>0.39765384615384619</v>
      </c>
      <c r="H306">
        <f t="shared" si="17"/>
        <v>1</v>
      </c>
      <c r="I306" s="2">
        <f t="shared" si="18"/>
        <v>0.39765384615384619</v>
      </c>
      <c r="J306" s="2">
        <f t="shared" si="19"/>
        <v>0</v>
      </c>
    </row>
    <row r="307" spans="1:10" x14ac:dyDescent="0.3">
      <c r="A307">
        <v>1000017290</v>
      </c>
      <c r="B307" s="1">
        <f>VLOOKUP(A307,[1]Sheet1!A:B,2,FALSE)</f>
        <v>40560</v>
      </c>
      <c r="C307" s="2">
        <v>0</v>
      </c>
      <c r="D307" s="2">
        <f>SUMIFS([1]Sheet1!D:D,[1]Sheet1!A:A,A307,[1]Sheet1!E:E,"Figurado")</f>
        <v>7702.5</v>
      </c>
      <c r="E307" s="2">
        <f>SUMIFS([1]Sheet1!D:D,[1]Sheet1!A:A,A307,[1]Sheet1!E:E,"Mallas")</f>
        <v>0</v>
      </c>
      <c r="F307" s="2">
        <f>SUMIFS([1]Sheet1!D:D,[1]Sheet1!A:A,A307,[1]Sheet1!E:E,"Materia Prima")</f>
        <v>0</v>
      </c>
      <c r="G307" s="2">
        <f t="shared" si="16"/>
        <v>2.9624999999999999</v>
      </c>
      <c r="H307">
        <f t="shared" si="17"/>
        <v>1</v>
      </c>
      <c r="I307" s="2">
        <f t="shared" si="18"/>
        <v>2.9624999999999999</v>
      </c>
      <c r="J307" s="2">
        <f t="shared" si="19"/>
        <v>0</v>
      </c>
    </row>
    <row r="308" spans="1:10" x14ac:dyDescent="0.3">
      <c r="A308">
        <v>1000017291</v>
      </c>
      <c r="B308" s="1">
        <f>VLOOKUP(A308,[1]Sheet1!A:B,2,FALSE)</f>
        <v>40560</v>
      </c>
      <c r="C308" s="2">
        <v>0</v>
      </c>
      <c r="D308" s="2">
        <f>SUMIFS([1]Sheet1!D:D,[1]Sheet1!A:A,A308,[1]Sheet1!E:E,"Figurado")</f>
        <v>1191.5</v>
      </c>
      <c r="E308" s="2">
        <f>SUMIFS([1]Sheet1!D:D,[1]Sheet1!A:A,A308,[1]Sheet1!E:E,"Mallas")</f>
        <v>0</v>
      </c>
      <c r="F308" s="2">
        <f>SUMIFS([1]Sheet1!D:D,[1]Sheet1!A:A,A308,[1]Sheet1!E:E,"Materia Prima")</f>
        <v>0</v>
      </c>
      <c r="G308" s="2">
        <f t="shared" si="16"/>
        <v>0.45826923076923076</v>
      </c>
      <c r="H308">
        <f t="shared" si="17"/>
        <v>1</v>
      </c>
      <c r="I308" s="2">
        <f t="shared" si="18"/>
        <v>0.45826923076923076</v>
      </c>
      <c r="J308" s="2">
        <f t="shared" si="19"/>
        <v>0</v>
      </c>
    </row>
    <row r="309" spans="1:10" x14ac:dyDescent="0.3">
      <c r="A309">
        <v>1000017293</v>
      </c>
      <c r="B309" s="1">
        <f>VLOOKUP(A309,[1]Sheet1!A:B,2,FALSE)</f>
        <v>40560</v>
      </c>
      <c r="C309" s="2">
        <v>0</v>
      </c>
      <c r="D309" s="2">
        <f>SUMIFS([1]Sheet1!D:D,[1]Sheet1!A:A,A309,[1]Sheet1!E:E,"Figurado")</f>
        <v>355</v>
      </c>
      <c r="E309" s="2">
        <f>SUMIFS([1]Sheet1!D:D,[1]Sheet1!A:A,A309,[1]Sheet1!E:E,"Mallas")</f>
        <v>0</v>
      </c>
      <c r="F309" s="2">
        <f>SUMIFS([1]Sheet1!D:D,[1]Sheet1!A:A,A309,[1]Sheet1!E:E,"Materia Prima")</f>
        <v>0</v>
      </c>
      <c r="G309" s="2">
        <f t="shared" si="16"/>
        <v>0.13653846153846153</v>
      </c>
      <c r="H309">
        <f t="shared" si="17"/>
        <v>1</v>
      </c>
      <c r="I309" s="2">
        <f t="shared" si="18"/>
        <v>0.13653846153846153</v>
      </c>
      <c r="J309" s="2">
        <f t="shared" si="19"/>
        <v>0</v>
      </c>
    </row>
    <row r="310" spans="1:10" x14ac:dyDescent="0.3">
      <c r="A310">
        <v>1000017296</v>
      </c>
      <c r="B310" s="1">
        <f>VLOOKUP(A310,[1]Sheet1!A:B,2,FALSE)</f>
        <v>40560</v>
      </c>
      <c r="C310" s="2">
        <v>0</v>
      </c>
      <c r="D310" s="2">
        <f>SUMIFS([1]Sheet1!D:D,[1]Sheet1!A:A,A310,[1]Sheet1!E:E,"Figurado")</f>
        <v>1883.1</v>
      </c>
      <c r="E310" s="2">
        <f>SUMIFS([1]Sheet1!D:D,[1]Sheet1!A:A,A310,[1]Sheet1!E:E,"Mallas")</f>
        <v>0</v>
      </c>
      <c r="F310" s="2">
        <f>SUMIFS([1]Sheet1!D:D,[1]Sheet1!A:A,A310,[1]Sheet1!E:E,"Materia Prima")</f>
        <v>70.300000000000011</v>
      </c>
      <c r="G310" s="2">
        <f t="shared" si="16"/>
        <v>0.72426923076923078</v>
      </c>
      <c r="H310">
        <f t="shared" si="17"/>
        <v>2</v>
      </c>
      <c r="I310" s="2">
        <f t="shared" si="18"/>
        <v>0.72426923076923078</v>
      </c>
      <c r="J310" s="2">
        <f t="shared" si="19"/>
        <v>0</v>
      </c>
    </row>
    <row r="311" spans="1:10" x14ac:dyDescent="0.3">
      <c r="A311">
        <v>1000017297</v>
      </c>
      <c r="B311" s="1">
        <f>VLOOKUP(A311,[1]Sheet1!A:B,2,FALSE)</f>
        <v>40560</v>
      </c>
      <c r="C311" s="2">
        <v>0</v>
      </c>
      <c r="D311" s="2">
        <f>SUMIFS([1]Sheet1!D:D,[1]Sheet1!A:A,A311,[1]Sheet1!E:E,"Figurado")</f>
        <v>0</v>
      </c>
      <c r="E311" s="2">
        <f>SUMIFS([1]Sheet1!D:D,[1]Sheet1!A:A,A311,[1]Sheet1!E:E,"Mallas")</f>
        <v>0</v>
      </c>
      <c r="F311" s="2">
        <f>SUMIFS([1]Sheet1!D:D,[1]Sheet1!A:A,A311,[1]Sheet1!E:E,"Materia Prima")</f>
        <v>420</v>
      </c>
      <c r="G311" s="2">
        <f t="shared" si="16"/>
        <v>0</v>
      </c>
      <c r="H311">
        <f t="shared" si="17"/>
        <v>1</v>
      </c>
      <c r="I311" s="2">
        <f t="shared" si="18"/>
        <v>0</v>
      </c>
      <c r="J311" s="2">
        <f t="shared" si="19"/>
        <v>0</v>
      </c>
    </row>
    <row r="312" spans="1:10" x14ac:dyDescent="0.3">
      <c r="A312">
        <v>1000017298</v>
      </c>
      <c r="B312" s="1">
        <f>VLOOKUP(A312,[1]Sheet1!A:B,2,FALSE)</f>
        <v>40560</v>
      </c>
      <c r="C312" s="2">
        <v>0</v>
      </c>
      <c r="D312" s="2">
        <f>SUMIFS([1]Sheet1!D:D,[1]Sheet1!A:A,A312,[1]Sheet1!E:E,"Figurado")</f>
        <v>0</v>
      </c>
      <c r="E312" s="2">
        <f>SUMIFS([1]Sheet1!D:D,[1]Sheet1!A:A,A312,[1]Sheet1!E:E,"Mallas")</f>
        <v>0</v>
      </c>
      <c r="F312" s="2">
        <f>SUMIFS([1]Sheet1!D:D,[1]Sheet1!A:A,A312,[1]Sheet1!E:E,"Materia Prima")</f>
        <v>1092</v>
      </c>
      <c r="G312" s="2">
        <f t="shared" si="16"/>
        <v>0</v>
      </c>
      <c r="H312">
        <f t="shared" si="17"/>
        <v>1</v>
      </c>
      <c r="I312" s="2">
        <f t="shared" si="18"/>
        <v>0</v>
      </c>
      <c r="J312" s="2">
        <f t="shared" si="19"/>
        <v>0</v>
      </c>
    </row>
    <row r="313" spans="1:10" x14ac:dyDescent="0.3">
      <c r="A313">
        <v>1000017299</v>
      </c>
      <c r="B313" s="1">
        <f>VLOOKUP(A313,[1]Sheet1!A:B,2,FALSE)</f>
        <v>40560</v>
      </c>
      <c r="C313" s="2">
        <v>0</v>
      </c>
      <c r="D313" s="2">
        <f>SUMIFS([1]Sheet1!D:D,[1]Sheet1!A:A,A313,[1]Sheet1!E:E,"Figurado")</f>
        <v>1711.5</v>
      </c>
      <c r="E313" s="2">
        <f>SUMIFS([1]Sheet1!D:D,[1]Sheet1!A:A,A313,[1]Sheet1!E:E,"Mallas")</f>
        <v>0</v>
      </c>
      <c r="F313" s="2">
        <f>SUMIFS([1]Sheet1!D:D,[1]Sheet1!A:A,A313,[1]Sheet1!E:E,"Materia Prima")</f>
        <v>0</v>
      </c>
      <c r="G313" s="2">
        <f t="shared" si="16"/>
        <v>0.65826923076923072</v>
      </c>
      <c r="H313">
        <f t="shared" si="17"/>
        <v>1</v>
      </c>
      <c r="I313" s="2">
        <f t="shared" si="18"/>
        <v>0.65826923076923072</v>
      </c>
      <c r="J313" s="2">
        <f t="shared" si="19"/>
        <v>0</v>
      </c>
    </row>
    <row r="314" spans="1:10" x14ac:dyDescent="0.3">
      <c r="A314">
        <v>1000017304</v>
      </c>
      <c r="B314" s="1">
        <f>VLOOKUP(A314,[1]Sheet1!A:B,2,FALSE)</f>
        <v>40560</v>
      </c>
      <c r="C314" s="2">
        <v>0</v>
      </c>
      <c r="D314" s="2">
        <f>SUMIFS([1]Sheet1!D:D,[1]Sheet1!A:A,A314,[1]Sheet1!E:E,"Figurado")</f>
        <v>0</v>
      </c>
      <c r="E314" s="2">
        <f>SUMIFS([1]Sheet1!D:D,[1]Sheet1!A:A,A314,[1]Sheet1!E:E,"Mallas")</f>
        <v>0</v>
      </c>
      <c r="F314" s="2">
        <f>SUMIFS([1]Sheet1!D:D,[1]Sheet1!A:A,A314,[1]Sheet1!E:E,"Materia Prima")</f>
        <v>1000.48</v>
      </c>
      <c r="G314" s="2">
        <f t="shared" si="16"/>
        <v>0</v>
      </c>
      <c r="H314">
        <f t="shared" si="17"/>
        <v>1</v>
      </c>
      <c r="I314" s="2">
        <f t="shared" si="18"/>
        <v>0</v>
      </c>
      <c r="J314" s="2">
        <f t="shared" si="19"/>
        <v>0</v>
      </c>
    </row>
    <row r="315" spans="1:10" x14ac:dyDescent="0.3">
      <c r="A315">
        <v>1000017305</v>
      </c>
      <c r="B315" s="1">
        <f>VLOOKUP(A315,[1]Sheet1!A:B,2,FALSE)</f>
        <v>40560</v>
      </c>
      <c r="C315" s="2">
        <v>0</v>
      </c>
      <c r="D315" s="2">
        <f>SUMIFS([1]Sheet1!D:D,[1]Sheet1!A:A,A315,[1]Sheet1!E:E,"Figurado")</f>
        <v>10423.799999999999</v>
      </c>
      <c r="E315" s="2">
        <f>SUMIFS([1]Sheet1!D:D,[1]Sheet1!A:A,A315,[1]Sheet1!E:E,"Mallas")</f>
        <v>0</v>
      </c>
      <c r="F315" s="2">
        <f>SUMIFS([1]Sheet1!D:D,[1]Sheet1!A:A,A315,[1]Sheet1!E:E,"Materia Prima")</f>
        <v>0</v>
      </c>
      <c r="G315" s="2">
        <f t="shared" si="16"/>
        <v>4.0091538461538461</v>
      </c>
      <c r="H315">
        <f t="shared" si="17"/>
        <v>1</v>
      </c>
      <c r="I315" s="2">
        <f t="shared" si="18"/>
        <v>4.0091538461538461</v>
      </c>
      <c r="J315" s="2">
        <f t="shared" si="19"/>
        <v>0</v>
      </c>
    </row>
    <row r="316" spans="1:10" x14ac:dyDescent="0.3">
      <c r="A316">
        <v>1000017306</v>
      </c>
      <c r="B316" s="1">
        <f>VLOOKUP(A316,[1]Sheet1!A:B,2,FALSE)</f>
        <v>40560</v>
      </c>
      <c r="C316" s="2">
        <v>0</v>
      </c>
      <c r="D316" s="2">
        <f>SUMIFS([1]Sheet1!D:D,[1]Sheet1!A:A,A316,[1]Sheet1!E:E,"Figurado")</f>
        <v>8412.5</v>
      </c>
      <c r="E316" s="2">
        <f>SUMIFS([1]Sheet1!D:D,[1]Sheet1!A:A,A316,[1]Sheet1!E:E,"Mallas")</f>
        <v>0</v>
      </c>
      <c r="F316" s="2">
        <f>SUMIFS([1]Sheet1!D:D,[1]Sheet1!A:A,A316,[1]Sheet1!E:E,"Materia Prima")</f>
        <v>0</v>
      </c>
      <c r="G316" s="2">
        <f t="shared" si="16"/>
        <v>3.2355769230769229</v>
      </c>
      <c r="H316">
        <f t="shared" si="17"/>
        <v>1</v>
      </c>
      <c r="I316" s="2">
        <f t="shared" si="18"/>
        <v>3.2355769230769229</v>
      </c>
      <c r="J316" s="2">
        <f t="shared" si="19"/>
        <v>0</v>
      </c>
    </row>
    <row r="317" spans="1:10" x14ac:dyDescent="0.3">
      <c r="A317">
        <v>1000017308</v>
      </c>
      <c r="B317" s="1">
        <f>VLOOKUP(A317,[1]Sheet1!A:B,2,FALSE)</f>
        <v>40560</v>
      </c>
      <c r="C317" s="2">
        <v>0</v>
      </c>
      <c r="D317" s="2">
        <f>SUMIFS([1]Sheet1!D:D,[1]Sheet1!A:A,A317,[1]Sheet1!E:E,"Figurado")</f>
        <v>0</v>
      </c>
      <c r="E317" s="2">
        <f>SUMIFS([1]Sheet1!D:D,[1]Sheet1!A:A,A317,[1]Sheet1!E:E,"Mallas")</f>
        <v>21646.13</v>
      </c>
      <c r="F317" s="2">
        <f>SUMIFS([1]Sheet1!D:D,[1]Sheet1!A:A,A317,[1]Sheet1!E:E,"Materia Prima")</f>
        <v>0</v>
      </c>
      <c r="G317" s="2">
        <f t="shared" si="16"/>
        <v>27.057662500000003</v>
      </c>
      <c r="H317">
        <f t="shared" si="17"/>
        <v>1</v>
      </c>
      <c r="I317" s="2">
        <f t="shared" si="18"/>
        <v>0</v>
      </c>
      <c r="J317" s="2">
        <f t="shared" si="19"/>
        <v>27.057662500000003</v>
      </c>
    </row>
    <row r="318" spans="1:10" x14ac:dyDescent="0.3">
      <c r="A318">
        <v>1000017309</v>
      </c>
      <c r="B318" s="1">
        <f>VLOOKUP(A318,[1]Sheet1!A:B,2,FALSE)</f>
        <v>40560</v>
      </c>
      <c r="C318" s="2">
        <v>0</v>
      </c>
      <c r="D318" s="2">
        <f>SUMIFS([1]Sheet1!D:D,[1]Sheet1!A:A,A318,[1]Sheet1!E:E,"Figurado")</f>
        <v>0</v>
      </c>
      <c r="E318" s="2">
        <f>SUMIFS([1]Sheet1!D:D,[1]Sheet1!A:A,A318,[1]Sheet1!E:E,"Mallas")</f>
        <v>0</v>
      </c>
      <c r="F318" s="2">
        <f>SUMIFS([1]Sheet1!D:D,[1]Sheet1!A:A,A318,[1]Sheet1!E:E,"Materia Prima")</f>
        <v>35000</v>
      </c>
      <c r="G318" s="2">
        <f t="shared" si="16"/>
        <v>0</v>
      </c>
      <c r="H318">
        <f t="shared" si="17"/>
        <v>1</v>
      </c>
      <c r="I318" s="2">
        <f t="shared" si="18"/>
        <v>0</v>
      </c>
      <c r="J318" s="2">
        <f t="shared" si="19"/>
        <v>0</v>
      </c>
    </row>
    <row r="319" spans="1:10" x14ac:dyDescent="0.3">
      <c r="A319">
        <v>1000017310</v>
      </c>
      <c r="B319" s="1">
        <f>VLOOKUP(A319,[1]Sheet1!A:B,2,FALSE)</f>
        <v>40560</v>
      </c>
      <c r="C319" s="2">
        <v>0</v>
      </c>
      <c r="D319" s="2">
        <f>SUMIFS([1]Sheet1!D:D,[1]Sheet1!A:A,A319,[1]Sheet1!E:E,"Figurado")</f>
        <v>0</v>
      </c>
      <c r="E319" s="2">
        <f>SUMIFS([1]Sheet1!D:D,[1]Sheet1!A:A,A319,[1]Sheet1!E:E,"Mallas")</f>
        <v>5950.8</v>
      </c>
      <c r="F319" s="2">
        <f>SUMIFS([1]Sheet1!D:D,[1]Sheet1!A:A,A319,[1]Sheet1!E:E,"Materia Prima")</f>
        <v>0</v>
      </c>
      <c r="G319" s="2">
        <f t="shared" si="16"/>
        <v>7.4385000000000003</v>
      </c>
      <c r="H319">
        <f t="shared" si="17"/>
        <v>1</v>
      </c>
      <c r="I319" s="2">
        <f t="shared" si="18"/>
        <v>0</v>
      </c>
      <c r="J319" s="2">
        <f t="shared" si="19"/>
        <v>7.4385000000000003</v>
      </c>
    </row>
    <row r="320" spans="1:10" x14ac:dyDescent="0.3">
      <c r="A320">
        <v>1000017311</v>
      </c>
      <c r="B320" s="1">
        <f>VLOOKUP(A320,[1]Sheet1!A:B,2,FALSE)</f>
        <v>40560</v>
      </c>
      <c r="C320" s="2">
        <v>0</v>
      </c>
      <c r="D320" s="2">
        <f>SUMIFS([1]Sheet1!D:D,[1]Sheet1!A:A,A320,[1]Sheet1!E:E,"Figurado")</f>
        <v>9429.2000000000007</v>
      </c>
      <c r="E320" s="2">
        <f>SUMIFS([1]Sheet1!D:D,[1]Sheet1!A:A,A320,[1]Sheet1!E:E,"Mallas")</f>
        <v>0</v>
      </c>
      <c r="F320" s="2">
        <f>SUMIFS([1]Sheet1!D:D,[1]Sheet1!A:A,A320,[1]Sheet1!E:E,"Materia Prima")</f>
        <v>149.80000000000001</v>
      </c>
      <c r="G320" s="2">
        <f t="shared" si="16"/>
        <v>3.626615384615385</v>
      </c>
      <c r="H320">
        <f t="shared" si="17"/>
        <v>2</v>
      </c>
      <c r="I320" s="2">
        <f t="shared" si="18"/>
        <v>3.626615384615385</v>
      </c>
      <c r="J320" s="2">
        <f t="shared" si="19"/>
        <v>0</v>
      </c>
    </row>
    <row r="321" spans="1:10" x14ac:dyDescent="0.3">
      <c r="A321">
        <v>1000017312</v>
      </c>
      <c r="B321" s="1">
        <f>VLOOKUP(A321,[1]Sheet1!A:B,2,FALSE)</f>
        <v>40560</v>
      </c>
      <c r="C321" s="2">
        <v>0</v>
      </c>
      <c r="D321" s="2">
        <f>SUMIFS([1]Sheet1!D:D,[1]Sheet1!A:A,A321,[1]Sheet1!E:E,"Figurado")</f>
        <v>0</v>
      </c>
      <c r="E321" s="2">
        <f>SUMIFS([1]Sheet1!D:D,[1]Sheet1!A:A,A321,[1]Sheet1!E:E,"Mallas")</f>
        <v>0</v>
      </c>
      <c r="F321" s="2">
        <f>SUMIFS([1]Sheet1!D:D,[1]Sheet1!A:A,A321,[1]Sheet1!E:E,"Materia Prima")</f>
        <v>201.6</v>
      </c>
      <c r="G321" s="2">
        <f t="shared" si="16"/>
        <v>0</v>
      </c>
      <c r="H321">
        <f t="shared" si="17"/>
        <v>1</v>
      </c>
      <c r="I321" s="2">
        <f t="shared" si="18"/>
        <v>0</v>
      </c>
      <c r="J321" s="2">
        <f t="shared" si="19"/>
        <v>0</v>
      </c>
    </row>
    <row r="322" spans="1:10" x14ac:dyDescent="0.3">
      <c r="A322">
        <v>1000017313</v>
      </c>
      <c r="B322" s="1">
        <f>VLOOKUP(A322,[1]Sheet1!A:B,2,FALSE)</f>
        <v>40560</v>
      </c>
      <c r="C322" s="2">
        <v>0</v>
      </c>
      <c r="D322" s="2">
        <f>SUMIFS([1]Sheet1!D:D,[1]Sheet1!A:A,A322,[1]Sheet1!E:E,"Figurado")</f>
        <v>664.6</v>
      </c>
      <c r="E322" s="2">
        <f>SUMIFS([1]Sheet1!D:D,[1]Sheet1!A:A,A322,[1]Sheet1!E:E,"Mallas")</f>
        <v>0</v>
      </c>
      <c r="F322" s="2">
        <f>SUMIFS([1]Sheet1!D:D,[1]Sheet1!A:A,A322,[1]Sheet1!E:E,"Materia Prima")</f>
        <v>0</v>
      </c>
      <c r="G322" s="2">
        <f t="shared" si="16"/>
        <v>0.25561538461538463</v>
      </c>
      <c r="H322">
        <f t="shared" si="17"/>
        <v>1</v>
      </c>
      <c r="I322" s="2">
        <f t="shared" si="18"/>
        <v>0.25561538461538463</v>
      </c>
      <c r="J322" s="2">
        <f t="shared" si="19"/>
        <v>0</v>
      </c>
    </row>
    <row r="323" spans="1:10" x14ac:dyDescent="0.3">
      <c r="A323">
        <v>1000017314</v>
      </c>
      <c r="B323" s="1">
        <f>VLOOKUP(A323,[1]Sheet1!A:B,2,FALSE)</f>
        <v>40560</v>
      </c>
      <c r="C323" s="2">
        <v>0</v>
      </c>
      <c r="D323" s="2">
        <f>SUMIFS([1]Sheet1!D:D,[1]Sheet1!A:A,A323,[1]Sheet1!E:E,"Figurado")</f>
        <v>751.3</v>
      </c>
      <c r="E323" s="2">
        <f>SUMIFS([1]Sheet1!D:D,[1]Sheet1!A:A,A323,[1]Sheet1!E:E,"Mallas")</f>
        <v>0</v>
      </c>
      <c r="F323" s="2">
        <f>SUMIFS([1]Sheet1!D:D,[1]Sheet1!A:A,A323,[1]Sheet1!E:E,"Materia Prima")</f>
        <v>0</v>
      </c>
      <c r="G323" s="2">
        <f t="shared" ref="G323:G386" si="20">(D323/2600)+(E323/800)</f>
        <v>0.28896153846153844</v>
      </c>
      <c r="H323">
        <f t="shared" ref="H323:H386" si="21">(IF(D323&gt;0,1,0) + IF(E323&gt;0,1,0) + IF(F323&gt;0,1,0))</f>
        <v>1</v>
      </c>
      <c r="I323" s="2">
        <f t="shared" ref="I323:I386" si="22">D323/2600</f>
        <v>0.28896153846153844</v>
      </c>
      <c r="J323" s="2">
        <f t="shared" ref="J323:J386" si="23">E323/800</f>
        <v>0</v>
      </c>
    </row>
    <row r="324" spans="1:10" x14ac:dyDescent="0.3">
      <c r="A324">
        <v>1000017315</v>
      </c>
      <c r="B324" s="1">
        <f>VLOOKUP(A324,[1]Sheet1!A:B,2,FALSE)</f>
        <v>40560</v>
      </c>
      <c r="C324" s="2">
        <v>0</v>
      </c>
      <c r="D324" s="2">
        <f>SUMIFS([1]Sheet1!D:D,[1]Sheet1!A:A,A324,[1]Sheet1!E:E,"Figurado")</f>
        <v>3810.6000000000004</v>
      </c>
      <c r="E324" s="2">
        <f>SUMIFS([1]Sheet1!D:D,[1]Sheet1!A:A,A324,[1]Sheet1!E:E,"Mallas")</f>
        <v>0</v>
      </c>
      <c r="F324" s="2">
        <f>SUMIFS([1]Sheet1!D:D,[1]Sheet1!A:A,A324,[1]Sheet1!E:E,"Materia Prima")</f>
        <v>0</v>
      </c>
      <c r="G324" s="2">
        <f t="shared" si="20"/>
        <v>1.4656153846153848</v>
      </c>
      <c r="H324">
        <f t="shared" si="21"/>
        <v>1</v>
      </c>
      <c r="I324" s="2">
        <f t="shared" si="22"/>
        <v>1.4656153846153848</v>
      </c>
      <c r="J324" s="2">
        <f t="shared" si="23"/>
        <v>0</v>
      </c>
    </row>
    <row r="325" spans="1:10" x14ac:dyDescent="0.3">
      <c r="A325">
        <v>1000017316</v>
      </c>
      <c r="B325" s="1">
        <f>VLOOKUP(A325,[1]Sheet1!A:B,2,FALSE)</f>
        <v>40560</v>
      </c>
      <c r="C325" s="2">
        <v>0</v>
      </c>
      <c r="D325" s="2">
        <f>SUMIFS([1]Sheet1!D:D,[1]Sheet1!A:A,A325,[1]Sheet1!E:E,"Figurado")</f>
        <v>3279.4</v>
      </c>
      <c r="E325" s="2">
        <f>SUMIFS([1]Sheet1!D:D,[1]Sheet1!A:A,A325,[1]Sheet1!E:E,"Mallas")</f>
        <v>0</v>
      </c>
      <c r="F325" s="2">
        <f>SUMIFS([1]Sheet1!D:D,[1]Sheet1!A:A,A325,[1]Sheet1!E:E,"Materia Prima")</f>
        <v>0</v>
      </c>
      <c r="G325" s="2">
        <f t="shared" si="20"/>
        <v>1.2613076923076922</v>
      </c>
      <c r="H325">
        <f t="shared" si="21"/>
        <v>1</v>
      </c>
      <c r="I325" s="2">
        <f t="shared" si="22"/>
        <v>1.2613076923076922</v>
      </c>
      <c r="J325" s="2">
        <f t="shared" si="23"/>
        <v>0</v>
      </c>
    </row>
    <row r="326" spans="1:10" x14ac:dyDescent="0.3">
      <c r="A326">
        <v>1000017317</v>
      </c>
      <c r="B326" s="1">
        <f>VLOOKUP(A326,[1]Sheet1!A:B,2,FALSE)</f>
        <v>40561</v>
      </c>
      <c r="C326" s="2">
        <v>0</v>
      </c>
      <c r="D326" s="2">
        <f>SUMIFS([1]Sheet1!D:D,[1]Sheet1!A:A,A326,[1]Sheet1!E:E,"Figurado")</f>
        <v>0</v>
      </c>
      <c r="E326" s="2">
        <f>SUMIFS([1]Sheet1!D:D,[1]Sheet1!A:A,A326,[1]Sheet1!E:E,"Mallas")</f>
        <v>0</v>
      </c>
      <c r="F326" s="2">
        <f>SUMIFS([1]Sheet1!D:D,[1]Sheet1!A:A,A326,[1]Sheet1!E:E,"Materia Prima")</f>
        <v>59.2</v>
      </c>
      <c r="G326" s="2">
        <f t="shared" si="20"/>
        <v>0</v>
      </c>
      <c r="H326">
        <f t="shared" si="21"/>
        <v>1</v>
      </c>
      <c r="I326" s="2">
        <f t="shared" si="22"/>
        <v>0</v>
      </c>
      <c r="J326" s="2">
        <f t="shared" si="23"/>
        <v>0</v>
      </c>
    </row>
    <row r="327" spans="1:10" x14ac:dyDescent="0.3">
      <c r="A327">
        <v>1000017319</v>
      </c>
      <c r="B327" s="1">
        <f>VLOOKUP(A327,[1]Sheet1!A:B,2,FALSE)</f>
        <v>40561</v>
      </c>
      <c r="C327" s="2">
        <v>0</v>
      </c>
      <c r="D327" s="2">
        <f>SUMIFS([1]Sheet1!D:D,[1]Sheet1!A:A,A327,[1]Sheet1!E:E,"Figurado")</f>
        <v>0</v>
      </c>
      <c r="E327" s="2">
        <f>SUMIFS([1]Sheet1!D:D,[1]Sheet1!A:A,A327,[1]Sheet1!E:E,"Mallas")</f>
        <v>3141.27</v>
      </c>
      <c r="F327" s="2">
        <f>SUMIFS([1]Sheet1!D:D,[1]Sheet1!A:A,A327,[1]Sheet1!E:E,"Materia Prima")</f>
        <v>0</v>
      </c>
      <c r="G327" s="2">
        <f t="shared" si="20"/>
        <v>3.9265875000000001</v>
      </c>
      <c r="H327">
        <f t="shared" si="21"/>
        <v>1</v>
      </c>
      <c r="I327" s="2">
        <f t="shared" si="22"/>
        <v>0</v>
      </c>
      <c r="J327" s="2">
        <f t="shared" si="23"/>
        <v>3.9265875000000001</v>
      </c>
    </row>
    <row r="328" spans="1:10" x14ac:dyDescent="0.3">
      <c r="A328">
        <v>1000017320</v>
      </c>
      <c r="B328" s="1">
        <f>VLOOKUP(A328,[1]Sheet1!A:B,2,FALSE)</f>
        <v>40561</v>
      </c>
      <c r="C328" s="2">
        <v>0</v>
      </c>
      <c r="D328" s="2">
        <f>SUMIFS([1]Sheet1!D:D,[1]Sheet1!A:A,A328,[1]Sheet1!E:E,"Figurado")</f>
        <v>0</v>
      </c>
      <c r="E328" s="2">
        <f>SUMIFS([1]Sheet1!D:D,[1]Sheet1!A:A,A328,[1]Sheet1!E:E,"Mallas")</f>
        <v>506.16</v>
      </c>
      <c r="F328" s="2">
        <f>SUMIFS([1]Sheet1!D:D,[1]Sheet1!A:A,A328,[1]Sheet1!E:E,"Materia Prima")</f>
        <v>0</v>
      </c>
      <c r="G328" s="2">
        <f t="shared" si="20"/>
        <v>0.63270000000000004</v>
      </c>
      <c r="H328">
        <f t="shared" si="21"/>
        <v>1</v>
      </c>
      <c r="I328" s="2">
        <f t="shared" si="22"/>
        <v>0</v>
      </c>
      <c r="J328" s="2">
        <f t="shared" si="23"/>
        <v>0.63270000000000004</v>
      </c>
    </row>
    <row r="329" spans="1:10" x14ac:dyDescent="0.3">
      <c r="A329">
        <v>1000017321</v>
      </c>
      <c r="B329" s="1">
        <f>VLOOKUP(A329,[1]Sheet1!A:B,2,FALSE)</f>
        <v>40561</v>
      </c>
      <c r="C329" s="2">
        <v>0</v>
      </c>
      <c r="D329" s="2">
        <f>SUMIFS([1]Sheet1!D:D,[1]Sheet1!A:A,A329,[1]Sheet1!E:E,"Figurado")</f>
        <v>0</v>
      </c>
      <c r="E329" s="2">
        <f>SUMIFS([1]Sheet1!D:D,[1]Sheet1!A:A,A329,[1]Sheet1!E:E,"Mallas")</f>
        <v>1818.6</v>
      </c>
      <c r="F329" s="2">
        <f>SUMIFS([1]Sheet1!D:D,[1]Sheet1!A:A,A329,[1]Sheet1!E:E,"Materia Prima")</f>
        <v>0</v>
      </c>
      <c r="G329" s="2">
        <f t="shared" si="20"/>
        <v>2.27325</v>
      </c>
      <c r="H329">
        <f t="shared" si="21"/>
        <v>1</v>
      </c>
      <c r="I329" s="2">
        <f t="shared" si="22"/>
        <v>0</v>
      </c>
      <c r="J329" s="2">
        <f t="shared" si="23"/>
        <v>2.27325</v>
      </c>
    </row>
    <row r="330" spans="1:10" x14ac:dyDescent="0.3">
      <c r="A330">
        <v>1000017322</v>
      </c>
      <c r="B330" s="1">
        <f>VLOOKUP(A330,[1]Sheet1!A:B,2,FALSE)</f>
        <v>40561</v>
      </c>
      <c r="C330" s="2">
        <v>0</v>
      </c>
      <c r="D330" s="2">
        <f>SUMIFS([1]Sheet1!D:D,[1]Sheet1!A:A,A330,[1]Sheet1!E:E,"Figurado")</f>
        <v>0</v>
      </c>
      <c r="E330" s="2">
        <f>SUMIFS([1]Sheet1!D:D,[1]Sheet1!A:A,A330,[1]Sheet1!E:E,"Mallas")</f>
        <v>0</v>
      </c>
      <c r="F330" s="2">
        <f>SUMIFS([1]Sheet1!D:D,[1]Sheet1!A:A,A330,[1]Sheet1!E:E,"Materia Prima")</f>
        <v>500</v>
      </c>
      <c r="G330" s="2">
        <f t="shared" si="20"/>
        <v>0</v>
      </c>
      <c r="H330">
        <f t="shared" si="21"/>
        <v>1</v>
      </c>
      <c r="I330" s="2">
        <f t="shared" si="22"/>
        <v>0</v>
      </c>
      <c r="J330" s="2">
        <f t="shared" si="23"/>
        <v>0</v>
      </c>
    </row>
    <row r="331" spans="1:10" x14ac:dyDescent="0.3">
      <c r="A331">
        <v>1000017323</v>
      </c>
      <c r="B331" s="1">
        <f>VLOOKUP(A331,[1]Sheet1!A:B,2,FALSE)</f>
        <v>40561</v>
      </c>
      <c r="C331" s="2">
        <v>0</v>
      </c>
      <c r="D331" s="2">
        <f>SUMIFS([1]Sheet1!D:D,[1]Sheet1!A:A,A331,[1]Sheet1!E:E,"Figurado")</f>
        <v>3825.7</v>
      </c>
      <c r="E331" s="2">
        <f>SUMIFS([1]Sheet1!D:D,[1]Sheet1!A:A,A331,[1]Sheet1!E:E,"Mallas")</f>
        <v>0</v>
      </c>
      <c r="F331" s="2">
        <f>SUMIFS([1]Sheet1!D:D,[1]Sheet1!A:A,A331,[1]Sheet1!E:E,"Materia Prima")</f>
        <v>0</v>
      </c>
      <c r="G331" s="2">
        <f t="shared" si="20"/>
        <v>1.4714230769230769</v>
      </c>
      <c r="H331">
        <f t="shared" si="21"/>
        <v>1</v>
      </c>
      <c r="I331" s="2">
        <f t="shared" si="22"/>
        <v>1.4714230769230769</v>
      </c>
      <c r="J331" s="2">
        <f t="shared" si="23"/>
        <v>0</v>
      </c>
    </row>
    <row r="332" spans="1:10" x14ac:dyDescent="0.3">
      <c r="A332">
        <v>1000017324</v>
      </c>
      <c r="B332" s="1">
        <f>VLOOKUP(A332,[1]Sheet1!A:B,2,FALSE)</f>
        <v>40561</v>
      </c>
      <c r="C332" s="2">
        <v>0</v>
      </c>
      <c r="D332" s="2">
        <f>SUMIFS([1]Sheet1!D:D,[1]Sheet1!A:A,A332,[1]Sheet1!E:E,"Figurado")</f>
        <v>0</v>
      </c>
      <c r="E332" s="2">
        <f>SUMIFS([1]Sheet1!D:D,[1]Sheet1!A:A,A332,[1]Sheet1!E:E,"Mallas")</f>
        <v>0</v>
      </c>
      <c r="F332" s="2">
        <f>SUMIFS([1]Sheet1!D:D,[1]Sheet1!A:A,A332,[1]Sheet1!E:E,"Materia Prima")</f>
        <v>500</v>
      </c>
      <c r="G332" s="2">
        <f t="shared" si="20"/>
        <v>0</v>
      </c>
      <c r="H332">
        <f t="shared" si="21"/>
        <v>1</v>
      </c>
      <c r="I332" s="2">
        <f t="shared" si="22"/>
        <v>0</v>
      </c>
      <c r="J332" s="2">
        <f t="shared" si="23"/>
        <v>0</v>
      </c>
    </row>
    <row r="333" spans="1:10" x14ac:dyDescent="0.3">
      <c r="A333">
        <v>1000017326</v>
      </c>
      <c r="B333" s="1">
        <f>VLOOKUP(A333,[1]Sheet1!A:B,2,FALSE)</f>
        <v>40561</v>
      </c>
      <c r="C333" s="2">
        <v>0</v>
      </c>
      <c r="D333" s="2">
        <f>SUMIFS([1]Sheet1!D:D,[1]Sheet1!A:A,A333,[1]Sheet1!E:E,"Figurado")</f>
        <v>0</v>
      </c>
      <c r="E333" s="2">
        <f>SUMIFS([1]Sheet1!D:D,[1]Sheet1!A:A,A333,[1]Sheet1!E:E,"Mallas")</f>
        <v>1741.56</v>
      </c>
      <c r="F333" s="2">
        <f>SUMIFS([1]Sheet1!D:D,[1]Sheet1!A:A,A333,[1]Sheet1!E:E,"Materia Prima")</f>
        <v>0</v>
      </c>
      <c r="G333" s="2">
        <f t="shared" si="20"/>
        <v>2.1769499999999997</v>
      </c>
      <c r="H333">
        <f t="shared" si="21"/>
        <v>1</v>
      </c>
      <c r="I333" s="2">
        <f t="shared" si="22"/>
        <v>0</v>
      </c>
      <c r="J333" s="2">
        <f t="shared" si="23"/>
        <v>2.1769499999999997</v>
      </c>
    </row>
    <row r="334" spans="1:10" x14ac:dyDescent="0.3">
      <c r="A334">
        <v>1000017328</v>
      </c>
      <c r="B334" s="1">
        <f>VLOOKUP(A334,[1]Sheet1!A:B,2,FALSE)</f>
        <v>40561</v>
      </c>
      <c r="C334" s="2">
        <v>0</v>
      </c>
      <c r="D334" s="2">
        <f>SUMIFS([1]Sheet1!D:D,[1]Sheet1!A:A,A334,[1]Sheet1!E:E,"Figurado")</f>
        <v>4329</v>
      </c>
      <c r="E334" s="2">
        <f>SUMIFS([1]Sheet1!D:D,[1]Sheet1!A:A,A334,[1]Sheet1!E:E,"Mallas")</f>
        <v>0</v>
      </c>
      <c r="F334" s="2">
        <f>SUMIFS([1]Sheet1!D:D,[1]Sheet1!A:A,A334,[1]Sheet1!E:E,"Materia Prima")</f>
        <v>0</v>
      </c>
      <c r="G334" s="2">
        <f t="shared" si="20"/>
        <v>1.665</v>
      </c>
      <c r="H334">
        <f t="shared" si="21"/>
        <v>1</v>
      </c>
      <c r="I334" s="2">
        <f t="shared" si="22"/>
        <v>1.665</v>
      </c>
      <c r="J334" s="2">
        <f t="shared" si="23"/>
        <v>0</v>
      </c>
    </row>
    <row r="335" spans="1:10" x14ac:dyDescent="0.3">
      <c r="A335">
        <v>1000017329</v>
      </c>
      <c r="B335" s="1">
        <f>VLOOKUP(A335,[1]Sheet1!A:B,2,FALSE)</f>
        <v>40561</v>
      </c>
      <c r="C335" s="2">
        <v>0</v>
      </c>
      <c r="D335" s="2">
        <f>SUMIFS([1]Sheet1!D:D,[1]Sheet1!A:A,A335,[1]Sheet1!E:E,"Figurado")</f>
        <v>986.4</v>
      </c>
      <c r="E335" s="2">
        <f>SUMIFS([1]Sheet1!D:D,[1]Sheet1!A:A,A335,[1]Sheet1!E:E,"Mallas")</f>
        <v>0</v>
      </c>
      <c r="F335" s="2">
        <f>SUMIFS([1]Sheet1!D:D,[1]Sheet1!A:A,A335,[1]Sheet1!E:E,"Materia Prima")</f>
        <v>0</v>
      </c>
      <c r="G335" s="2">
        <f t="shared" si="20"/>
        <v>0.37938461538461538</v>
      </c>
      <c r="H335">
        <f t="shared" si="21"/>
        <v>1</v>
      </c>
      <c r="I335" s="2">
        <f t="shared" si="22"/>
        <v>0.37938461538461538</v>
      </c>
      <c r="J335" s="2">
        <f t="shared" si="23"/>
        <v>0</v>
      </c>
    </row>
    <row r="336" spans="1:10" x14ac:dyDescent="0.3">
      <c r="A336">
        <v>1000017330</v>
      </c>
      <c r="B336" s="1">
        <f>VLOOKUP(A336,[1]Sheet1!A:B,2,FALSE)</f>
        <v>40561</v>
      </c>
      <c r="C336" s="2">
        <v>0</v>
      </c>
      <c r="D336" s="2">
        <f>SUMIFS([1]Sheet1!D:D,[1]Sheet1!A:A,A336,[1]Sheet1!E:E,"Figurado")</f>
        <v>802.2</v>
      </c>
      <c r="E336" s="2">
        <f>SUMIFS([1]Sheet1!D:D,[1]Sheet1!A:A,A336,[1]Sheet1!E:E,"Mallas")</f>
        <v>0</v>
      </c>
      <c r="F336" s="2">
        <f>SUMIFS([1]Sheet1!D:D,[1]Sheet1!A:A,A336,[1]Sheet1!E:E,"Materia Prima")</f>
        <v>0</v>
      </c>
      <c r="G336" s="2">
        <f t="shared" si="20"/>
        <v>0.30853846153846154</v>
      </c>
      <c r="H336">
        <f t="shared" si="21"/>
        <v>1</v>
      </c>
      <c r="I336" s="2">
        <f t="shared" si="22"/>
        <v>0.30853846153846154</v>
      </c>
      <c r="J336" s="2">
        <f t="shared" si="23"/>
        <v>0</v>
      </c>
    </row>
    <row r="337" spans="1:10" x14ac:dyDescent="0.3">
      <c r="A337">
        <v>1000017331</v>
      </c>
      <c r="B337" s="1">
        <f>VLOOKUP(A337,[1]Sheet1!A:B,2,FALSE)</f>
        <v>40561</v>
      </c>
      <c r="C337" s="2">
        <v>0</v>
      </c>
      <c r="D337" s="2">
        <f>SUMIFS([1]Sheet1!D:D,[1]Sheet1!A:A,A337,[1]Sheet1!E:E,"Figurado")</f>
        <v>6126.6</v>
      </c>
      <c r="E337" s="2">
        <f>SUMIFS([1]Sheet1!D:D,[1]Sheet1!A:A,A337,[1]Sheet1!E:E,"Mallas")</f>
        <v>0</v>
      </c>
      <c r="F337" s="2">
        <f>SUMIFS([1]Sheet1!D:D,[1]Sheet1!A:A,A337,[1]Sheet1!E:E,"Materia Prima")</f>
        <v>0</v>
      </c>
      <c r="G337" s="2">
        <f t="shared" si="20"/>
        <v>2.3563846153846155</v>
      </c>
      <c r="H337">
        <f t="shared" si="21"/>
        <v>1</v>
      </c>
      <c r="I337" s="2">
        <f t="shared" si="22"/>
        <v>2.3563846153846155</v>
      </c>
      <c r="J337" s="2">
        <f t="shared" si="23"/>
        <v>0</v>
      </c>
    </row>
    <row r="338" spans="1:10" x14ac:dyDescent="0.3">
      <c r="A338">
        <v>1000017332</v>
      </c>
      <c r="B338" s="1">
        <f>VLOOKUP(A338,[1]Sheet1!A:B,2,FALSE)</f>
        <v>40561</v>
      </c>
      <c r="C338" s="2">
        <v>0</v>
      </c>
      <c r="D338" s="2">
        <f>SUMIFS([1]Sheet1!D:D,[1]Sheet1!A:A,A338,[1]Sheet1!E:E,"Figurado")</f>
        <v>4069.3</v>
      </c>
      <c r="E338" s="2">
        <f>SUMIFS([1]Sheet1!D:D,[1]Sheet1!A:A,A338,[1]Sheet1!E:E,"Mallas")</f>
        <v>0</v>
      </c>
      <c r="F338" s="2">
        <f>SUMIFS([1]Sheet1!D:D,[1]Sheet1!A:A,A338,[1]Sheet1!E:E,"Materia Prima")</f>
        <v>0</v>
      </c>
      <c r="G338" s="2">
        <f t="shared" si="20"/>
        <v>1.5651153846153847</v>
      </c>
      <c r="H338">
        <f t="shared" si="21"/>
        <v>1</v>
      </c>
      <c r="I338" s="2">
        <f t="shared" si="22"/>
        <v>1.5651153846153847</v>
      </c>
      <c r="J338" s="2">
        <f t="shared" si="23"/>
        <v>0</v>
      </c>
    </row>
    <row r="339" spans="1:10" x14ac:dyDescent="0.3">
      <c r="A339">
        <v>1000017334</v>
      </c>
      <c r="B339" s="1">
        <f>VLOOKUP(A339,[1]Sheet1!A:B,2,FALSE)</f>
        <v>40561</v>
      </c>
      <c r="C339" s="2">
        <v>0</v>
      </c>
      <c r="D339" s="2">
        <f>SUMIFS([1]Sheet1!D:D,[1]Sheet1!A:A,A339,[1]Sheet1!E:E,"Figurado")</f>
        <v>376.4</v>
      </c>
      <c r="E339" s="2">
        <f>SUMIFS([1]Sheet1!D:D,[1]Sheet1!A:A,A339,[1]Sheet1!E:E,"Mallas")</f>
        <v>0</v>
      </c>
      <c r="F339" s="2">
        <f>SUMIFS([1]Sheet1!D:D,[1]Sheet1!A:A,A339,[1]Sheet1!E:E,"Materia Prima")</f>
        <v>0</v>
      </c>
      <c r="G339" s="2">
        <f t="shared" si="20"/>
        <v>0.14476923076923076</v>
      </c>
      <c r="H339">
        <f t="shared" si="21"/>
        <v>1</v>
      </c>
      <c r="I339" s="2">
        <f t="shared" si="22"/>
        <v>0.14476923076923076</v>
      </c>
      <c r="J339" s="2">
        <f t="shared" si="23"/>
        <v>0</v>
      </c>
    </row>
    <row r="340" spans="1:10" x14ac:dyDescent="0.3">
      <c r="A340">
        <v>1000017335</v>
      </c>
      <c r="B340" s="1">
        <f>VLOOKUP(A340,[1]Sheet1!A:B,2,FALSE)</f>
        <v>40561</v>
      </c>
      <c r="C340" s="2">
        <v>0</v>
      </c>
      <c r="D340" s="2">
        <f>SUMIFS([1]Sheet1!D:D,[1]Sheet1!A:A,A340,[1]Sheet1!E:E,"Figurado")</f>
        <v>9014.2000000000007</v>
      </c>
      <c r="E340" s="2">
        <f>SUMIFS([1]Sheet1!D:D,[1]Sheet1!A:A,A340,[1]Sheet1!E:E,"Mallas")</f>
        <v>0</v>
      </c>
      <c r="F340" s="2">
        <f>SUMIFS([1]Sheet1!D:D,[1]Sheet1!A:A,A340,[1]Sheet1!E:E,"Materia Prima")</f>
        <v>288</v>
      </c>
      <c r="G340" s="2">
        <f t="shared" si="20"/>
        <v>3.4670000000000001</v>
      </c>
      <c r="H340">
        <f t="shared" si="21"/>
        <v>2</v>
      </c>
      <c r="I340" s="2">
        <f t="shared" si="22"/>
        <v>3.4670000000000001</v>
      </c>
      <c r="J340" s="2">
        <f t="shared" si="23"/>
        <v>0</v>
      </c>
    </row>
    <row r="341" spans="1:10" x14ac:dyDescent="0.3">
      <c r="A341">
        <v>1000017339</v>
      </c>
      <c r="B341" s="1">
        <f>VLOOKUP(A341,[1]Sheet1!A:B,2,FALSE)</f>
        <v>40562</v>
      </c>
      <c r="C341" s="2">
        <v>0</v>
      </c>
      <c r="D341" s="2">
        <f>SUMIFS([1]Sheet1!D:D,[1]Sheet1!A:A,A341,[1]Sheet1!E:E,"Figurado")</f>
        <v>0</v>
      </c>
      <c r="E341" s="2">
        <f>SUMIFS([1]Sheet1!D:D,[1]Sheet1!A:A,A341,[1]Sheet1!E:E,"Mallas")</f>
        <v>0</v>
      </c>
      <c r="F341" s="2">
        <f>SUMIFS([1]Sheet1!D:D,[1]Sheet1!A:A,A341,[1]Sheet1!E:E,"Materia Prima")</f>
        <v>67.2</v>
      </c>
      <c r="G341" s="2">
        <f t="shared" si="20"/>
        <v>0</v>
      </c>
      <c r="H341">
        <f t="shared" si="21"/>
        <v>1</v>
      </c>
      <c r="I341" s="2">
        <f t="shared" si="22"/>
        <v>0</v>
      </c>
      <c r="J341" s="2">
        <f t="shared" si="23"/>
        <v>0</v>
      </c>
    </row>
    <row r="342" spans="1:10" x14ac:dyDescent="0.3">
      <c r="A342">
        <v>1000017340</v>
      </c>
      <c r="B342" s="1">
        <f>VLOOKUP(A342,[1]Sheet1!A:B,2,FALSE)</f>
        <v>40562</v>
      </c>
      <c r="C342" s="2">
        <v>0</v>
      </c>
      <c r="D342" s="2">
        <f>SUMIFS([1]Sheet1!D:D,[1]Sheet1!A:A,A342,[1]Sheet1!E:E,"Figurado")</f>
        <v>0</v>
      </c>
      <c r="E342" s="2">
        <f>SUMIFS([1]Sheet1!D:D,[1]Sheet1!A:A,A342,[1]Sheet1!E:E,"Mallas")</f>
        <v>8549.6200000000008</v>
      </c>
      <c r="F342" s="2">
        <f>SUMIFS([1]Sheet1!D:D,[1]Sheet1!A:A,A342,[1]Sheet1!E:E,"Materia Prima")</f>
        <v>0</v>
      </c>
      <c r="G342" s="2">
        <f t="shared" si="20"/>
        <v>10.687025</v>
      </c>
      <c r="H342">
        <f t="shared" si="21"/>
        <v>1</v>
      </c>
      <c r="I342" s="2">
        <f t="shared" si="22"/>
        <v>0</v>
      </c>
      <c r="J342" s="2">
        <f t="shared" si="23"/>
        <v>10.687025</v>
      </c>
    </row>
    <row r="343" spans="1:10" x14ac:dyDescent="0.3">
      <c r="A343">
        <v>1000017341</v>
      </c>
      <c r="B343" s="1">
        <f>VLOOKUP(A343,[1]Sheet1!A:B,2,FALSE)</f>
        <v>40562</v>
      </c>
      <c r="C343" s="2">
        <v>0</v>
      </c>
      <c r="D343" s="2">
        <f>SUMIFS([1]Sheet1!D:D,[1]Sheet1!A:A,A343,[1]Sheet1!E:E,"Figurado")</f>
        <v>0</v>
      </c>
      <c r="E343" s="2">
        <f>SUMIFS([1]Sheet1!D:D,[1]Sheet1!A:A,A343,[1]Sheet1!E:E,"Mallas")</f>
        <v>0</v>
      </c>
      <c r="F343" s="2">
        <f>SUMIFS([1]Sheet1!D:D,[1]Sheet1!A:A,A343,[1]Sheet1!E:E,"Materia Prima")</f>
        <v>67.2</v>
      </c>
      <c r="G343" s="2">
        <f t="shared" si="20"/>
        <v>0</v>
      </c>
      <c r="H343">
        <f t="shared" si="21"/>
        <v>1</v>
      </c>
      <c r="I343" s="2">
        <f t="shared" si="22"/>
        <v>0</v>
      </c>
      <c r="J343" s="2">
        <f t="shared" si="23"/>
        <v>0</v>
      </c>
    </row>
    <row r="344" spans="1:10" x14ac:dyDescent="0.3">
      <c r="A344">
        <v>1000017342</v>
      </c>
      <c r="B344" s="1">
        <f>VLOOKUP(A344,[1]Sheet1!A:B,2,FALSE)</f>
        <v>40562</v>
      </c>
      <c r="C344" s="2">
        <v>0</v>
      </c>
      <c r="D344" s="2">
        <f>SUMIFS([1]Sheet1!D:D,[1]Sheet1!A:A,A344,[1]Sheet1!E:E,"Figurado")</f>
        <v>0</v>
      </c>
      <c r="E344" s="2">
        <f>SUMIFS([1]Sheet1!D:D,[1]Sheet1!A:A,A344,[1]Sheet1!E:E,"Mallas")</f>
        <v>0</v>
      </c>
      <c r="F344" s="2">
        <f>SUMIFS([1]Sheet1!D:D,[1]Sheet1!A:A,A344,[1]Sheet1!E:E,"Materia Prima")</f>
        <v>67.2</v>
      </c>
      <c r="G344" s="2">
        <f t="shared" si="20"/>
        <v>0</v>
      </c>
      <c r="H344">
        <f t="shared" si="21"/>
        <v>1</v>
      </c>
      <c r="I344" s="2">
        <f t="shared" si="22"/>
        <v>0</v>
      </c>
      <c r="J344" s="2">
        <f t="shared" si="23"/>
        <v>0</v>
      </c>
    </row>
    <row r="345" spans="1:10" x14ac:dyDescent="0.3">
      <c r="A345">
        <v>1000017343</v>
      </c>
      <c r="B345" s="1">
        <f>VLOOKUP(A345,[1]Sheet1!A:B,2,FALSE)</f>
        <v>40562</v>
      </c>
      <c r="C345" s="2">
        <v>0</v>
      </c>
      <c r="D345" s="2">
        <f>SUMIFS([1]Sheet1!D:D,[1]Sheet1!A:A,A345,[1]Sheet1!E:E,"Figurado")</f>
        <v>4549.9000000000005</v>
      </c>
      <c r="E345" s="2">
        <f>SUMIFS([1]Sheet1!D:D,[1]Sheet1!A:A,A345,[1]Sheet1!E:E,"Mallas")</f>
        <v>0</v>
      </c>
      <c r="F345" s="2">
        <f>SUMIFS([1]Sheet1!D:D,[1]Sheet1!A:A,A345,[1]Sheet1!E:E,"Materia Prima")</f>
        <v>93.6</v>
      </c>
      <c r="G345" s="2">
        <f t="shared" si="20"/>
        <v>1.7499615384615386</v>
      </c>
      <c r="H345">
        <f t="shared" si="21"/>
        <v>2</v>
      </c>
      <c r="I345" s="2">
        <f t="shared" si="22"/>
        <v>1.7499615384615386</v>
      </c>
      <c r="J345" s="2">
        <f t="shared" si="23"/>
        <v>0</v>
      </c>
    </row>
    <row r="346" spans="1:10" x14ac:dyDescent="0.3">
      <c r="A346">
        <v>1000017347</v>
      </c>
      <c r="B346" s="1">
        <f>VLOOKUP(A346,[1]Sheet1!A:B,2,FALSE)</f>
        <v>40562</v>
      </c>
      <c r="C346" s="2">
        <v>0</v>
      </c>
      <c r="D346" s="2">
        <f>SUMIFS([1]Sheet1!D:D,[1]Sheet1!A:A,A346,[1]Sheet1!E:E,"Figurado")</f>
        <v>0</v>
      </c>
      <c r="E346" s="2">
        <f>SUMIFS([1]Sheet1!D:D,[1]Sheet1!A:A,A346,[1]Sheet1!E:E,"Mallas")</f>
        <v>877.8</v>
      </c>
      <c r="F346" s="2">
        <f>SUMIFS([1]Sheet1!D:D,[1]Sheet1!A:A,A346,[1]Sheet1!E:E,"Materia Prima")</f>
        <v>0</v>
      </c>
      <c r="G346" s="2">
        <f t="shared" si="20"/>
        <v>1.0972499999999998</v>
      </c>
      <c r="H346">
        <f t="shared" si="21"/>
        <v>1</v>
      </c>
      <c r="I346" s="2">
        <f t="shared" si="22"/>
        <v>0</v>
      </c>
      <c r="J346" s="2">
        <f t="shared" si="23"/>
        <v>1.0972499999999998</v>
      </c>
    </row>
    <row r="347" spans="1:10" x14ac:dyDescent="0.3">
      <c r="A347">
        <v>1000017232</v>
      </c>
      <c r="B347" s="1">
        <f>VLOOKUP(A347,[1]Sheet1!A:B,2,FALSE)</f>
        <v>40556</v>
      </c>
      <c r="C347" s="2">
        <v>0</v>
      </c>
      <c r="D347" s="2">
        <f>SUMIFS([1]Sheet1!D:D,[1]Sheet1!A:A,A347,[1]Sheet1!E:E,"Figurado")</f>
        <v>2219.8000000000002</v>
      </c>
      <c r="E347" s="2">
        <f>SUMIFS([1]Sheet1!D:D,[1]Sheet1!A:A,A347,[1]Sheet1!E:E,"Mallas")</f>
        <v>0</v>
      </c>
      <c r="F347" s="2">
        <f>SUMIFS([1]Sheet1!D:D,[1]Sheet1!A:A,A347,[1]Sheet1!E:E,"Materia Prima")</f>
        <v>0</v>
      </c>
      <c r="G347" s="2">
        <f t="shared" si="20"/>
        <v>0.85376923076923084</v>
      </c>
      <c r="H347">
        <f t="shared" si="21"/>
        <v>1</v>
      </c>
      <c r="I347" s="2">
        <f t="shared" si="22"/>
        <v>0.85376923076923084</v>
      </c>
      <c r="J347" s="2">
        <f t="shared" si="23"/>
        <v>0</v>
      </c>
    </row>
    <row r="348" spans="1:10" x14ac:dyDescent="0.3">
      <c r="A348">
        <v>1000017307</v>
      </c>
      <c r="B348" s="1">
        <f>VLOOKUP(A348,[1]Sheet1!A:B,2,FALSE)</f>
        <v>40560</v>
      </c>
      <c r="C348" s="2">
        <v>0</v>
      </c>
      <c r="D348" s="2">
        <f>SUMIFS([1]Sheet1!D:D,[1]Sheet1!A:A,A348,[1]Sheet1!E:E,"Figurado")</f>
        <v>6261.5</v>
      </c>
      <c r="E348" s="2">
        <f>SUMIFS([1]Sheet1!D:D,[1]Sheet1!A:A,A348,[1]Sheet1!E:E,"Mallas")</f>
        <v>0</v>
      </c>
      <c r="F348" s="2">
        <f>SUMIFS([1]Sheet1!D:D,[1]Sheet1!A:A,A348,[1]Sheet1!E:E,"Materia Prima")</f>
        <v>0</v>
      </c>
      <c r="G348" s="2">
        <f t="shared" si="20"/>
        <v>2.4082692307692306</v>
      </c>
      <c r="H348">
        <f t="shared" si="21"/>
        <v>1</v>
      </c>
      <c r="I348" s="2">
        <f t="shared" si="22"/>
        <v>2.4082692307692306</v>
      </c>
      <c r="J348" s="2">
        <f t="shared" si="23"/>
        <v>0</v>
      </c>
    </row>
    <row r="349" spans="1:10" x14ac:dyDescent="0.3">
      <c r="A349">
        <v>1000017327</v>
      </c>
      <c r="B349" s="1">
        <f>VLOOKUP(A349,[1]Sheet1!A:B,2,FALSE)</f>
        <v>40561</v>
      </c>
      <c r="C349" s="2">
        <v>0</v>
      </c>
      <c r="D349" s="2">
        <f>SUMIFS([1]Sheet1!D:D,[1]Sheet1!A:A,A349,[1]Sheet1!E:E,"Figurado")</f>
        <v>7649.5</v>
      </c>
      <c r="E349" s="2">
        <f>SUMIFS([1]Sheet1!D:D,[1]Sheet1!A:A,A349,[1]Sheet1!E:E,"Mallas")</f>
        <v>0</v>
      </c>
      <c r="F349" s="2">
        <f>SUMIFS([1]Sheet1!D:D,[1]Sheet1!A:A,A349,[1]Sheet1!E:E,"Materia Prima")</f>
        <v>0</v>
      </c>
      <c r="G349" s="2">
        <f t="shared" si="20"/>
        <v>2.9421153846153847</v>
      </c>
      <c r="H349">
        <f t="shared" si="21"/>
        <v>1</v>
      </c>
      <c r="I349" s="2">
        <f t="shared" si="22"/>
        <v>2.9421153846153847</v>
      </c>
      <c r="J349" s="2">
        <f t="shared" si="23"/>
        <v>0</v>
      </c>
    </row>
    <row r="350" spans="1:10" x14ac:dyDescent="0.3">
      <c r="A350">
        <v>1000017333</v>
      </c>
      <c r="B350" s="1">
        <f>VLOOKUP(A350,[1]Sheet1!A:B,2,FALSE)</f>
        <v>40561</v>
      </c>
      <c r="C350" s="2">
        <v>0</v>
      </c>
      <c r="D350" s="2">
        <f>SUMIFS([1]Sheet1!D:D,[1]Sheet1!A:A,A350,[1]Sheet1!E:E,"Figurado")</f>
        <v>643.6</v>
      </c>
      <c r="E350" s="2">
        <f>SUMIFS([1]Sheet1!D:D,[1]Sheet1!A:A,A350,[1]Sheet1!E:E,"Mallas")</f>
        <v>0</v>
      </c>
      <c r="F350" s="2">
        <f>SUMIFS([1]Sheet1!D:D,[1]Sheet1!A:A,A350,[1]Sheet1!E:E,"Materia Prima")</f>
        <v>0</v>
      </c>
      <c r="G350" s="2">
        <f t="shared" si="20"/>
        <v>0.24753846153846154</v>
      </c>
      <c r="H350">
        <f t="shared" si="21"/>
        <v>1</v>
      </c>
      <c r="I350" s="2">
        <f t="shared" si="22"/>
        <v>0.24753846153846154</v>
      </c>
      <c r="J350" s="2">
        <f t="shared" si="23"/>
        <v>0</v>
      </c>
    </row>
    <row r="351" spans="1:10" x14ac:dyDescent="0.3">
      <c r="A351">
        <v>1000017354</v>
      </c>
      <c r="B351" s="1">
        <f>VLOOKUP(A351,[1]Sheet1!A:B,2,FALSE)</f>
        <v>40562</v>
      </c>
      <c r="C351" s="2">
        <v>0</v>
      </c>
      <c r="D351" s="2">
        <f>SUMIFS([1]Sheet1!D:D,[1]Sheet1!A:A,A351,[1]Sheet1!E:E,"Figurado")</f>
        <v>9034.7999999999993</v>
      </c>
      <c r="E351" s="2">
        <f>SUMIFS([1]Sheet1!D:D,[1]Sheet1!A:A,A351,[1]Sheet1!E:E,"Mallas")</f>
        <v>0</v>
      </c>
      <c r="F351" s="2">
        <f>SUMIFS([1]Sheet1!D:D,[1]Sheet1!A:A,A351,[1]Sheet1!E:E,"Materia Prima")</f>
        <v>0</v>
      </c>
      <c r="G351" s="2">
        <f t="shared" si="20"/>
        <v>3.4749230769230768</v>
      </c>
      <c r="H351">
        <f t="shared" si="21"/>
        <v>1</v>
      </c>
      <c r="I351" s="2">
        <f t="shared" si="22"/>
        <v>3.4749230769230768</v>
      </c>
      <c r="J351" s="2">
        <f t="shared" si="23"/>
        <v>0</v>
      </c>
    </row>
    <row r="352" spans="1:10" x14ac:dyDescent="0.3">
      <c r="A352">
        <v>1000017356</v>
      </c>
      <c r="B352" s="1">
        <f>VLOOKUP(A352,[1]Sheet1!A:B,2,FALSE)</f>
        <v>40562</v>
      </c>
      <c r="C352" s="2">
        <v>0</v>
      </c>
      <c r="D352" s="2">
        <f>SUMIFS([1]Sheet1!D:D,[1]Sheet1!A:A,A352,[1]Sheet1!E:E,"Figurado")</f>
        <v>6006</v>
      </c>
      <c r="E352" s="2">
        <f>SUMIFS([1]Sheet1!D:D,[1]Sheet1!A:A,A352,[1]Sheet1!E:E,"Mallas")</f>
        <v>0</v>
      </c>
      <c r="F352" s="2">
        <f>SUMIFS([1]Sheet1!D:D,[1]Sheet1!A:A,A352,[1]Sheet1!E:E,"Materia Prima")</f>
        <v>0</v>
      </c>
      <c r="G352" s="2">
        <f t="shared" si="20"/>
        <v>2.31</v>
      </c>
      <c r="H352">
        <f t="shared" si="21"/>
        <v>1</v>
      </c>
      <c r="I352" s="2">
        <f t="shared" si="22"/>
        <v>2.31</v>
      </c>
      <c r="J352" s="2">
        <f t="shared" si="23"/>
        <v>0</v>
      </c>
    </row>
    <row r="353" spans="1:10" x14ac:dyDescent="0.3">
      <c r="A353">
        <v>1000017358</v>
      </c>
      <c r="B353" s="1">
        <f>VLOOKUP(A353,[1]Sheet1!A:B,2,FALSE)</f>
        <v>40562</v>
      </c>
      <c r="C353" s="2">
        <v>0</v>
      </c>
      <c r="D353" s="2">
        <f>SUMIFS([1]Sheet1!D:D,[1]Sheet1!A:A,A353,[1]Sheet1!E:E,"Figurado")</f>
        <v>2872.3</v>
      </c>
      <c r="E353" s="2">
        <f>SUMIFS([1]Sheet1!D:D,[1]Sheet1!A:A,A353,[1]Sheet1!E:E,"Mallas")</f>
        <v>0</v>
      </c>
      <c r="F353" s="2">
        <f>SUMIFS([1]Sheet1!D:D,[1]Sheet1!A:A,A353,[1]Sheet1!E:E,"Materia Prima")</f>
        <v>0</v>
      </c>
      <c r="G353" s="2">
        <f t="shared" si="20"/>
        <v>1.1047307692307693</v>
      </c>
      <c r="H353">
        <f t="shared" si="21"/>
        <v>1</v>
      </c>
      <c r="I353" s="2">
        <f t="shared" si="22"/>
        <v>1.1047307692307693</v>
      </c>
      <c r="J353" s="2">
        <f t="shared" si="23"/>
        <v>0</v>
      </c>
    </row>
    <row r="354" spans="1:10" x14ac:dyDescent="0.3">
      <c r="A354">
        <v>1000017359</v>
      </c>
      <c r="B354" s="1">
        <f>VLOOKUP(A354,[1]Sheet1!A:B,2,FALSE)</f>
        <v>40562</v>
      </c>
      <c r="C354" s="2">
        <v>0</v>
      </c>
      <c r="D354" s="2">
        <f>SUMIFS([1]Sheet1!D:D,[1]Sheet1!A:A,A354,[1]Sheet1!E:E,"Figurado")</f>
        <v>1103.0999999999999</v>
      </c>
      <c r="E354" s="2">
        <f>SUMIFS([1]Sheet1!D:D,[1]Sheet1!A:A,A354,[1]Sheet1!E:E,"Mallas")</f>
        <v>0</v>
      </c>
      <c r="F354" s="2">
        <f>SUMIFS([1]Sheet1!D:D,[1]Sheet1!A:A,A354,[1]Sheet1!E:E,"Materia Prima")</f>
        <v>0</v>
      </c>
      <c r="G354" s="2">
        <f t="shared" si="20"/>
        <v>0.42426923076923073</v>
      </c>
      <c r="H354">
        <f t="shared" si="21"/>
        <v>1</v>
      </c>
      <c r="I354" s="2">
        <f t="shared" si="22"/>
        <v>0.42426923076923073</v>
      </c>
      <c r="J354" s="2">
        <f t="shared" si="23"/>
        <v>0</v>
      </c>
    </row>
    <row r="355" spans="1:10" x14ac:dyDescent="0.3">
      <c r="A355">
        <v>1000017361</v>
      </c>
      <c r="B355" s="1">
        <f>VLOOKUP(A355,[1]Sheet1!A:B,2,FALSE)</f>
        <v>40563</v>
      </c>
      <c r="C355" s="2">
        <v>0</v>
      </c>
      <c r="D355" s="2">
        <f>SUMIFS([1]Sheet1!D:D,[1]Sheet1!A:A,A355,[1]Sheet1!E:E,"Figurado")</f>
        <v>9536.7000000000007</v>
      </c>
      <c r="E355" s="2">
        <f>SUMIFS([1]Sheet1!D:D,[1]Sheet1!A:A,A355,[1]Sheet1!E:E,"Mallas")</f>
        <v>0</v>
      </c>
      <c r="F355" s="2">
        <f>SUMIFS([1]Sheet1!D:D,[1]Sheet1!A:A,A355,[1]Sheet1!E:E,"Materia Prima")</f>
        <v>224.6</v>
      </c>
      <c r="G355" s="2">
        <f t="shared" si="20"/>
        <v>3.6679615384615389</v>
      </c>
      <c r="H355">
        <f t="shared" si="21"/>
        <v>2</v>
      </c>
      <c r="I355" s="2">
        <f t="shared" si="22"/>
        <v>3.6679615384615389</v>
      </c>
      <c r="J355" s="2">
        <f t="shared" si="23"/>
        <v>0</v>
      </c>
    </row>
    <row r="356" spans="1:10" x14ac:dyDescent="0.3">
      <c r="A356">
        <v>1000017365</v>
      </c>
      <c r="B356" s="1">
        <f>VLOOKUP(A356,[1]Sheet1!A:B,2,FALSE)</f>
        <v>40563</v>
      </c>
      <c r="C356" s="2">
        <v>0</v>
      </c>
      <c r="D356" s="2">
        <f>SUMIFS([1]Sheet1!D:D,[1]Sheet1!A:A,A356,[1]Sheet1!E:E,"Figurado")</f>
        <v>2813.2</v>
      </c>
      <c r="E356" s="2">
        <f>SUMIFS([1]Sheet1!D:D,[1]Sheet1!A:A,A356,[1]Sheet1!E:E,"Mallas")</f>
        <v>0</v>
      </c>
      <c r="F356" s="2">
        <f>SUMIFS([1]Sheet1!D:D,[1]Sheet1!A:A,A356,[1]Sheet1!E:E,"Materia Prima")</f>
        <v>386.4</v>
      </c>
      <c r="G356" s="2">
        <f t="shared" si="20"/>
        <v>1.0819999999999999</v>
      </c>
      <c r="H356">
        <f t="shared" si="21"/>
        <v>2</v>
      </c>
      <c r="I356" s="2">
        <f t="shared" si="22"/>
        <v>1.0819999999999999</v>
      </c>
      <c r="J356" s="2">
        <f t="shared" si="23"/>
        <v>0</v>
      </c>
    </row>
    <row r="357" spans="1:10" x14ac:dyDescent="0.3">
      <c r="A357">
        <v>1000017366</v>
      </c>
      <c r="B357" s="1">
        <f>VLOOKUP(A357,[1]Sheet1!A:B,2,FALSE)</f>
        <v>40563</v>
      </c>
      <c r="C357" s="2">
        <v>0</v>
      </c>
      <c r="D357" s="2">
        <f>SUMIFS([1]Sheet1!D:D,[1]Sheet1!A:A,A357,[1]Sheet1!E:E,"Figurado")</f>
        <v>5918.9000000000005</v>
      </c>
      <c r="E357" s="2">
        <f>SUMIFS([1]Sheet1!D:D,[1]Sheet1!A:A,A357,[1]Sheet1!E:E,"Mallas")</f>
        <v>0</v>
      </c>
      <c r="F357" s="2">
        <f>SUMIFS([1]Sheet1!D:D,[1]Sheet1!A:A,A357,[1]Sheet1!E:E,"Materia Prima")</f>
        <v>0</v>
      </c>
      <c r="G357" s="2">
        <f t="shared" si="20"/>
        <v>2.2765000000000004</v>
      </c>
      <c r="H357">
        <f t="shared" si="21"/>
        <v>1</v>
      </c>
      <c r="I357" s="2">
        <f t="shared" si="22"/>
        <v>2.2765000000000004</v>
      </c>
      <c r="J357" s="2">
        <f t="shared" si="23"/>
        <v>0</v>
      </c>
    </row>
    <row r="358" spans="1:10" x14ac:dyDescent="0.3">
      <c r="A358">
        <v>1000017375</v>
      </c>
      <c r="B358" s="1">
        <f>VLOOKUP(A358,[1]Sheet1!A:B,2,FALSE)</f>
        <v>40563</v>
      </c>
      <c r="C358" s="2">
        <v>0</v>
      </c>
      <c r="D358" s="2">
        <f>SUMIFS([1]Sheet1!D:D,[1]Sheet1!A:A,A358,[1]Sheet1!E:E,"Figurado")</f>
        <v>1536</v>
      </c>
      <c r="E358" s="2">
        <f>SUMIFS([1]Sheet1!D:D,[1]Sheet1!A:A,A358,[1]Sheet1!E:E,"Mallas")</f>
        <v>0</v>
      </c>
      <c r="F358" s="2">
        <f>SUMIFS([1]Sheet1!D:D,[1]Sheet1!A:A,A358,[1]Sheet1!E:E,"Materia Prima")</f>
        <v>0</v>
      </c>
      <c r="G358" s="2">
        <f t="shared" si="20"/>
        <v>0.59076923076923082</v>
      </c>
      <c r="H358">
        <f t="shared" si="21"/>
        <v>1</v>
      </c>
      <c r="I358" s="2">
        <f t="shared" si="22"/>
        <v>0.59076923076923082</v>
      </c>
      <c r="J358" s="2">
        <f t="shared" si="23"/>
        <v>0</v>
      </c>
    </row>
    <row r="359" spans="1:10" x14ac:dyDescent="0.3">
      <c r="A359">
        <v>1000017089</v>
      </c>
      <c r="B359" s="1">
        <f>VLOOKUP(A359,[1]Sheet1!A:B,2,FALSE)</f>
        <v>40549</v>
      </c>
      <c r="C359" s="2">
        <v>0</v>
      </c>
      <c r="D359" s="2">
        <f>SUMIFS([1]Sheet1!D:D,[1]Sheet1!A:A,A359,[1]Sheet1!E:E,"Figurado")</f>
        <v>0</v>
      </c>
      <c r="E359" s="2">
        <f>SUMIFS([1]Sheet1!D:D,[1]Sheet1!A:A,A359,[1]Sheet1!E:E,"Mallas")</f>
        <v>0</v>
      </c>
      <c r="F359" s="2">
        <f>SUMIFS([1]Sheet1!D:D,[1]Sheet1!A:A,A359,[1]Sheet1!E:E,"Materia Prima")</f>
        <v>0</v>
      </c>
      <c r="G359" s="2">
        <f t="shared" si="20"/>
        <v>0</v>
      </c>
      <c r="H359">
        <f t="shared" si="21"/>
        <v>0</v>
      </c>
      <c r="I359" s="2">
        <f t="shared" si="22"/>
        <v>0</v>
      </c>
      <c r="J359" s="2">
        <f t="shared" si="23"/>
        <v>0</v>
      </c>
    </row>
    <row r="360" spans="1:10" x14ac:dyDescent="0.3">
      <c r="A360">
        <v>1000017157</v>
      </c>
      <c r="B360" s="1">
        <f>VLOOKUP(A360,[1]Sheet1!A:B,2,FALSE)</f>
        <v>40554</v>
      </c>
      <c r="C360" s="2">
        <v>0</v>
      </c>
      <c r="D360" s="2">
        <f>SUMIFS([1]Sheet1!D:D,[1]Sheet1!A:A,A360,[1]Sheet1!E:E,"Figurado")</f>
        <v>0</v>
      </c>
      <c r="E360" s="2">
        <f>SUMIFS([1]Sheet1!D:D,[1]Sheet1!A:A,A360,[1]Sheet1!E:E,"Mallas")</f>
        <v>1896.24</v>
      </c>
      <c r="F360" s="2">
        <f>SUMIFS([1]Sheet1!D:D,[1]Sheet1!A:A,A360,[1]Sheet1!E:E,"Materia Prima")</f>
        <v>0</v>
      </c>
      <c r="G360" s="2">
        <f t="shared" si="20"/>
        <v>2.3702999999999999</v>
      </c>
      <c r="H360">
        <f t="shared" si="21"/>
        <v>1</v>
      </c>
      <c r="I360" s="2">
        <f t="shared" si="22"/>
        <v>0</v>
      </c>
      <c r="J360" s="2">
        <f t="shared" si="23"/>
        <v>2.3702999999999999</v>
      </c>
    </row>
    <row r="361" spans="1:10" x14ac:dyDescent="0.3">
      <c r="A361">
        <v>1000017193</v>
      </c>
      <c r="B361" s="1">
        <f>VLOOKUP(A361,[1]Sheet1!A:B,2,FALSE)</f>
        <v>40556</v>
      </c>
      <c r="C361" s="2">
        <v>0</v>
      </c>
      <c r="D361" s="2">
        <f>SUMIFS([1]Sheet1!D:D,[1]Sheet1!A:A,A361,[1]Sheet1!E:E,"Figurado")</f>
        <v>0</v>
      </c>
      <c r="E361" s="2">
        <f>SUMIFS([1]Sheet1!D:D,[1]Sheet1!A:A,A361,[1]Sheet1!E:E,"Mallas")</f>
        <v>1125</v>
      </c>
      <c r="F361" s="2">
        <f>SUMIFS([1]Sheet1!D:D,[1]Sheet1!A:A,A361,[1]Sheet1!E:E,"Materia Prima")</f>
        <v>0</v>
      </c>
      <c r="G361" s="2">
        <f t="shared" si="20"/>
        <v>1.40625</v>
      </c>
      <c r="H361">
        <f t="shared" si="21"/>
        <v>1</v>
      </c>
      <c r="I361" s="2">
        <f t="shared" si="22"/>
        <v>0</v>
      </c>
      <c r="J361" s="2">
        <f t="shared" si="23"/>
        <v>1.40625</v>
      </c>
    </row>
    <row r="362" spans="1:10" x14ac:dyDescent="0.3">
      <c r="A362">
        <v>1000017194</v>
      </c>
      <c r="B362" s="1">
        <f>VLOOKUP(A362,[1]Sheet1!A:B,2,FALSE)</f>
        <v>40556</v>
      </c>
      <c r="C362" s="2">
        <v>0</v>
      </c>
      <c r="D362" s="2">
        <f>SUMIFS([1]Sheet1!D:D,[1]Sheet1!A:A,A362,[1]Sheet1!E:E,"Figurado")</f>
        <v>0</v>
      </c>
      <c r="E362" s="2">
        <f>SUMIFS([1]Sheet1!D:D,[1]Sheet1!A:A,A362,[1]Sheet1!E:E,"Mallas")</f>
        <v>1125</v>
      </c>
      <c r="F362" s="2">
        <f>SUMIFS([1]Sheet1!D:D,[1]Sheet1!A:A,A362,[1]Sheet1!E:E,"Materia Prima")</f>
        <v>0</v>
      </c>
      <c r="G362" s="2">
        <f t="shared" si="20"/>
        <v>1.40625</v>
      </c>
      <c r="H362">
        <f t="shared" si="21"/>
        <v>1</v>
      </c>
      <c r="I362" s="2">
        <f t="shared" si="22"/>
        <v>0</v>
      </c>
      <c r="J362" s="2">
        <f t="shared" si="23"/>
        <v>1.40625</v>
      </c>
    </row>
    <row r="363" spans="1:10" x14ac:dyDescent="0.3">
      <c r="A363">
        <v>1000017264</v>
      </c>
      <c r="B363" s="1">
        <f>VLOOKUP(A363,[1]Sheet1!A:B,2,FALSE)</f>
        <v>40558</v>
      </c>
      <c r="C363" s="2">
        <v>0</v>
      </c>
      <c r="D363" s="2">
        <f>SUMIFS([1]Sheet1!D:D,[1]Sheet1!A:A,A363,[1]Sheet1!E:E,"Figurado")</f>
        <v>0</v>
      </c>
      <c r="E363" s="2">
        <f>SUMIFS([1]Sheet1!D:D,[1]Sheet1!A:A,A363,[1]Sheet1!E:E,"Mallas")</f>
        <v>3553</v>
      </c>
      <c r="F363" s="2">
        <f>SUMIFS([1]Sheet1!D:D,[1]Sheet1!A:A,A363,[1]Sheet1!E:E,"Materia Prima")</f>
        <v>0</v>
      </c>
      <c r="G363" s="2">
        <f t="shared" si="20"/>
        <v>4.4412500000000001</v>
      </c>
      <c r="H363">
        <f t="shared" si="21"/>
        <v>1</v>
      </c>
      <c r="I363" s="2">
        <f t="shared" si="22"/>
        <v>0</v>
      </c>
      <c r="J363" s="2">
        <f t="shared" si="23"/>
        <v>4.4412500000000001</v>
      </c>
    </row>
    <row r="364" spans="1:10" x14ac:dyDescent="0.3">
      <c r="A364">
        <v>1000017265</v>
      </c>
      <c r="B364" s="1">
        <f>VLOOKUP(A364,[1]Sheet1!A:B,2,FALSE)</f>
        <v>40558</v>
      </c>
      <c r="C364" s="2">
        <v>0</v>
      </c>
      <c r="D364" s="2">
        <f>SUMIFS([1]Sheet1!D:D,[1]Sheet1!A:A,A364,[1]Sheet1!E:E,"Figurado")</f>
        <v>0</v>
      </c>
      <c r="E364" s="2">
        <f>SUMIFS([1]Sheet1!D:D,[1]Sheet1!A:A,A364,[1]Sheet1!E:E,"Mallas")</f>
        <v>0</v>
      </c>
      <c r="F364" s="2">
        <f>SUMIFS([1]Sheet1!D:D,[1]Sheet1!A:A,A364,[1]Sheet1!E:E,"Materia Prima")</f>
        <v>1500</v>
      </c>
      <c r="G364" s="2">
        <f t="shared" si="20"/>
        <v>0</v>
      </c>
      <c r="H364">
        <f t="shared" si="21"/>
        <v>1</v>
      </c>
      <c r="I364" s="2">
        <f t="shared" si="22"/>
        <v>0</v>
      </c>
      <c r="J364" s="2">
        <f t="shared" si="23"/>
        <v>0</v>
      </c>
    </row>
    <row r="365" spans="1:10" x14ac:dyDescent="0.3">
      <c r="A365">
        <v>1000017294</v>
      </c>
      <c r="B365" s="1">
        <f>VLOOKUP(A365,[1]Sheet1!A:B,2,FALSE)</f>
        <v>40560</v>
      </c>
      <c r="C365" s="2">
        <v>0</v>
      </c>
      <c r="D365" s="2">
        <f>SUMIFS([1]Sheet1!D:D,[1]Sheet1!A:A,A365,[1]Sheet1!E:E,"Figurado")</f>
        <v>0</v>
      </c>
      <c r="E365" s="2">
        <f>SUMIFS([1]Sheet1!D:D,[1]Sheet1!A:A,A365,[1]Sheet1!E:E,"Mallas")</f>
        <v>0</v>
      </c>
      <c r="F365" s="2">
        <f>SUMIFS([1]Sheet1!D:D,[1]Sheet1!A:A,A365,[1]Sheet1!E:E,"Materia Prima")</f>
        <v>34052.101600000002</v>
      </c>
      <c r="G365" s="2">
        <f t="shared" si="20"/>
        <v>0</v>
      </c>
      <c r="H365">
        <f t="shared" si="21"/>
        <v>1</v>
      </c>
      <c r="I365" s="2">
        <f t="shared" si="22"/>
        <v>0</v>
      </c>
      <c r="J365" s="2">
        <f t="shared" si="23"/>
        <v>0</v>
      </c>
    </row>
    <row r="366" spans="1:10" x14ac:dyDescent="0.3">
      <c r="A366">
        <v>1000017295</v>
      </c>
      <c r="B366" s="1">
        <f>VLOOKUP(A366,[1]Sheet1!A:B,2,FALSE)</f>
        <v>40560</v>
      </c>
      <c r="C366" s="2">
        <v>0</v>
      </c>
      <c r="D366" s="2">
        <f>SUMIFS([1]Sheet1!D:D,[1]Sheet1!A:A,A366,[1]Sheet1!E:E,"Figurado")</f>
        <v>0</v>
      </c>
      <c r="E366" s="2">
        <f>SUMIFS([1]Sheet1!D:D,[1]Sheet1!A:A,A366,[1]Sheet1!E:E,"Mallas")</f>
        <v>0</v>
      </c>
      <c r="F366" s="2">
        <f>SUMIFS([1]Sheet1!D:D,[1]Sheet1!A:A,A366,[1]Sheet1!E:E,"Materia Prima")</f>
        <v>34017</v>
      </c>
      <c r="G366" s="2">
        <f t="shared" si="20"/>
        <v>0</v>
      </c>
      <c r="H366">
        <f t="shared" si="21"/>
        <v>1</v>
      </c>
      <c r="I366" s="2">
        <f t="shared" si="22"/>
        <v>0</v>
      </c>
      <c r="J366" s="2">
        <f t="shared" si="23"/>
        <v>0</v>
      </c>
    </row>
    <row r="367" spans="1:10" x14ac:dyDescent="0.3">
      <c r="A367">
        <v>1000017336</v>
      </c>
      <c r="B367" s="1">
        <f>VLOOKUP(A367,[1]Sheet1!A:B,2,FALSE)</f>
        <v>40562</v>
      </c>
      <c r="C367" s="2">
        <v>0</v>
      </c>
      <c r="D367" s="2">
        <f>SUMIFS([1]Sheet1!D:D,[1]Sheet1!A:A,A367,[1]Sheet1!E:E,"Figurado")</f>
        <v>9386.9</v>
      </c>
      <c r="E367" s="2">
        <f>SUMIFS([1]Sheet1!D:D,[1]Sheet1!A:A,A367,[1]Sheet1!E:E,"Mallas")</f>
        <v>0</v>
      </c>
      <c r="F367" s="2">
        <f>SUMIFS([1]Sheet1!D:D,[1]Sheet1!A:A,A367,[1]Sheet1!E:E,"Materia Prima")</f>
        <v>0</v>
      </c>
      <c r="G367" s="2">
        <f t="shared" si="20"/>
        <v>3.6103461538461539</v>
      </c>
      <c r="H367">
        <f t="shared" si="21"/>
        <v>1</v>
      </c>
      <c r="I367" s="2">
        <f t="shared" si="22"/>
        <v>3.6103461538461539</v>
      </c>
      <c r="J367" s="2">
        <f t="shared" si="23"/>
        <v>0</v>
      </c>
    </row>
    <row r="368" spans="1:10" x14ac:dyDescent="0.3">
      <c r="A368">
        <v>1000017337</v>
      </c>
      <c r="B368" s="1">
        <f>VLOOKUP(A368,[1]Sheet1!A:B,2,FALSE)</f>
        <v>40562</v>
      </c>
      <c r="C368" s="2">
        <v>0</v>
      </c>
      <c r="D368" s="2">
        <f>SUMIFS([1]Sheet1!D:D,[1]Sheet1!A:A,A368,[1]Sheet1!E:E,"Figurado")</f>
        <v>154</v>
      </c>
      <c r="E368" s="2">
        <f>SUMIFS([1]Sheet1!D:D,[1]Sheet1!A:A,A368,[1]Sheet1!E:E,"Mallas")</f>
        <v>0</v>
      </c>
      <c r="F368" s="2">
        <f>SUMIFS([1]Sheet1!D:D,[1]Sheet1!A:A,A368,[1]Sheet1!E:E,"Materia Prima")</f>
        <v>132</v>
      </c>
      <c r="G368" s="2">
        <f t="shared" si="20"/>
        <v>5.9230769230769233E-2</v>
      </c>
      <c r="H368">
        <f t="shared" si="21"/>
        <v>2</v>
      </c>
      <c r="I368" s="2">
        <f t="shared" si="22"/>
        <v>5.9230769230769233E-2</v>
      </c>
      <c r="J368" s="2">
        <f t="shared" si="23"/>
        <v>0</v>
      </c>
    </row>
    <row r="369" spans="1:10" x14ac:dyDescent="0.3">
      <c r="A369">
        <v>1000017338</v>
      </c>
      <c r="B369" s="1">
        <f>VLOOKUP(A369,[1]Sheet1!A:B,2,FALSE)</f>
        <v>40562</v>
      </c>
      <c r="C369" s="2">
        <v>0</v>
      </c>
      <c r="D369" s="2">
        <f>SUMIFS([1]Sheet1!D:D,[1]Sheet1!A:A,A369,[1]Sheet1!E:E,"Figurado")</f>
        <v>15.4</v>
      </c>
      <c r="E369" s="2">
        <f>SUMIFS([1]Sheet1!D:D,[1]Sheet1!A:A,A369,[1]Sheet1!E:E,"Mallas")</f>
        <v>0</v>
      </c>
      <c r="F369" s="2">
        <f>SUMIFS([1]Sheet1!D:D,[1]Sheet1!A:A,A369,[1]Sheet1!E:E,"Materia Prima")</f>
        <v>36</v>
      </c>
      <c r="G369" s="2">
        <f t="shared" si="20"/>
        <v>5.9230769230769233E-3</v>
      </c>
      <c r="H369">
        <f t="shared" si="21"/>
        <v>2</v>
      </c>
      <c r="I369" s="2">
        <f t="shared" si="22"/>
        <v>5.9230769230769233E-3</v>
      </c>
      <c r="J369" s="2">
        <f t="shared" si="23"/>
        <v>0</v>
      </c>
    </row>
    <row r="370" spans="1:10" x14ac:dyDescent="0.3">
      <c r="A370">
        <v>1000017344</v>
      </c>
      <c r="B370" s="1">
        <f>VLOOKUP(A370,[1]Sheet1!A:B,2,FALSE)</f>
        <v>40562</v>
      </c>
      <c r="C370" s="2">
        <v>0</v>
      </c>
      <c r="D370" s="2">
        <f>SUMIFS([1]Sheet1!D:D,[1]Sheet1!A:A,A370,[1]Sheet1!E:E,"Figurado")</f>
        <v>6001.9</v>
      </c>
      <c r="E370" s="2">
        <f>SUMIFS([1]Sheet1!D:D,[1]Sheet1!A:A,A370,[1]Sheet1!E:E,"Mallas")</f>
        <v>0</v>
      </c>
      <c r="F370" s="2">
        <f>SUMIFS([1]Sheet1!D:D,[1]Sheet1!A:A,A370,[1]Sheet1!E:E,"Materia Prima")</f>
        <v>36.700000000000003</v>
      </c>
      <c r="G370" s="2">
        <f t="shared" si="20"/>
        <v>2.3084230769230767</v>
      </c>
      <c r="H370">
        <f t="shared" si="21"/>
        <v>2</v>
      </c>
      <c r="I370" s="2">
        <f t="shared" si="22"/>
        <v>2.3084230769230767</v>
      </c>
      <c r="J370" s="2">
        <f t="shared" si="23"/>
        <v>0</v>
      </c>
    </row>
    <row r="371" spans="1:10" x14ac:dyDescent="0.3">
      <c r="A371">
        <v>1000017345</v>
      </c>
      <c r="B371" s="1">
        <f>VLOOKUP(A371,[1]Sheet1!A:B,2,FALSE)</f>
        <v>40562</v>
      </c>
      <c r="C371" s="2">
        <v>0</v>
      </c>
      <c r="D371" s="2">
        <f>SUMIFS([1]Sheet1!D:D,[1]Sheet1!A:A,A371,[1]Sheet1!E:E,"Figurado")</f>
        <v>36</v>
      </c>
      <c r="E371" s="2">
        <f>SUMIFS([1]Sheet1!D:D,[1]Sheet1!A:A,A371,[1]Sheet1!E:E,"Mallas")</f>
        <v>0</v>
      </c>
      <c r="F371" s="2">
        <f>SUMIFS([1]Sheet1!D:D,[1]Sheet1!A:A,A371,[1]Sheet1!E:E,"Materia Prima")</f>
        <v>504</v>
      </c>
      <c r="G371" s="2">
        <f t="shared" si="20"/>
        <v>1.3846153846153847E-2</v>
      </c>
      <c r="H371">
        <f t="shared" si="21"/>
        <v>2</v>
      </c>
      <c r="I371" s="2">
        <f t="shared" si="22"/>
        <v>1.3846153846153847E-2</v>
      </c>
      <c r="J371" s="2">
        <f t="shared" si="23"/>
        <v>0</v>
      </c>
    </row>
    <row r="372" spans="1:10" x14ac:dyDescent="0.3">
      <c r="A372">
        <v>1000017346</v>
      </c>
      <c r="B372" s="1">
        <f>VLOOKUP(A372,[1]Sheet1!A:B,2,FALSE)</f>
        <v>40562</v>
      </c>
      <c r="C372" s="2">
        <v>0</v>
      </c>
      <c r="D372" s="2">
        <f>SUMIFS([1]Sheet1!D:D,[1]Sheet1!A:A,A372,[1]Sheet1!E:E,"Figurado")</f>
        <v>8864.7000000000007</v>
      </c>
      <c r="E372" s="2">
        <f>SUMIFS([1]Sheet1!D:D,[1]Sheet1!A:A,A372,[1]Sheet1!E:E,"Mallas")</f>
        <v>0</v>
      </c>
      <c r="F372" s="2">
        <f>SUMIFS([1]Sheet1!D:D,[1]Sheet1!A:A,A372,[1]Sheet1!E:E,"Materia Prima")</f>
        <v>0</v>
      </c>
      <c r="G372" s="2">
        <f t="shared" si="20"/>
        <v>3.4095000000000004</v>
      </c>
      <c r="H372">
        <f t="shared" si="21"/>
        <v>1</v>
      </c>
      <c r="I372" s="2">
        <f t="shared" si="22"/>
        <v>3.4095000000000004</v>
      </c>
      <c r="J372" s="2">
        <f t="shared" si="23"/>
        <v>0</v>
      </c>
    </row>
    <row r="373" spans="1:10" x14ac:dyDescent="0.3">
      <c r="A373">
        <v>1000017348</v>
      </c>
      <c r="B373" s="1">
        <f>VLOOKUP(A373,[1]Sheet1!A:B,2,FALSE)</f>
        <v>40562</v>
      </c>
      <c r="C373" s="2">
        <v>0</v>
      </c>
      <c r="D373" s="2">
        <f>SUMIFS([1]Sheet1!D:D,[1]Sheet1!A:A,A373,[1]Sheet1!E:E,"Figurado")</f>
        <v>596.9</v>
      </c>
      <c r="E373" s="2">
        <f>SUMIFS([1]Sheet1!D:D,[1]Sheet1!A:A,A373,[1]Sheet1!E:E,"Mallas")</f>
        <v>0</v>
      </c>
      <c r="F373" s="2">
        <f>SUMIFS([1]Sheet1!D:D,[1]Sheet1!A:A,A373,[1]Sheet1!E:E,"Materia Prima")</f>
        <v>0</v>
      </c>
      <c r="G373" s="2">
        <f t="shared" si="20"/>
        <v>0.22957692307692307</v>
      </c>
      <c r="H373">
        <f t="shared" si="21"/>
        <v>1</v>
      </c>
      <c r="I373" s="2">
        <f t="shared" si="22"/>
        <v>0.22957692307692307</v>
      </c>
      <c r="J373" s="2">
        <f t="shared" si="23"/>
        <v>0</v>
      </c>
    </row>
    <row r="374" spans="1:10" x14ac:dyDescent="0.3">
      <c r="A374">
        <v>1000017349</v>
      </c>
      <c r="B374" s="1">
        <f>VLOOKUP(A374,[1]Sheet1!A:B,2,FALSE)</f>
        <v>40562</v>
      </c>
      <c r="C374" s="2">
        <v>0</v>
      </c>
      <c r="D374" s="2">
        <f>SUMIFS([1]Sheet1!D:D,[1]Sheet1!A:A,A374,[1]Sheet1!E:E,"Figurado")</f>
        <v>468.3</v>
      </c>
      <c r="E374" s="2">
        <f>SUMIFS([1]Sheet1!D:D,[1]Sheet1!A:A,A374,[1]Sheet1!E:E,"Mallas")</f>
        <v>0</v>
      </c>
      <c r="F374" s="2">
        <f>SUMIFS([1]Sheet1!D:D,[1]Sheet1!A:A,A374,[1]Sheet1!E:E,"Materia Prima")</f>
        <v>0</v>
      </c>
      <c r="G374" s="2">
        <f t="shared" si="20"/>
        <v>0.18011538461538462</v>
      </c>
      <c r="H374">
        <f t="shared" si="21"/>
        <v>1</v>
      </c>
      <c r="I374" s="2">
        <f t="shared" si="22"/>
        <v>0.18011538461538462</v>
      </c>
      <c r="J374" s="2">
        <f t="shared" si="23"/>
        <v>0</v>
      </c>
    </row>
    <row r="375" spans="1:10" x14ac:dyDescent="0.3">
      <c r="A375">
        <v>1000017350</v>
      </c>
      <c r="B375" s="1">
        <f>VLOOKUP(A375,[1]Sheet1!A:B,2,FALSE)</f>
        <v>40562</v>
      </c>
      <c r="C375" s="2">
        <v>0</v>
      </c>
      <c r="D375" s="2">
        <f>SUMIFS([1]Sheet1!D:D,[1]Sheet1!A:A,A375,[1]Sheet1!E:E,"Figurado")</f>
        <v>131.19999999999999</v>
      </c>
      <c r="E375" s="2">
        <f>SUMIFS([1]Sheet1!D:D,[1]Sheet1!A:A,A375,[1]Sheet1!E:E,"Mallas")</f>
        <v>0</v>
      </c>
      <c r="F375" s="2">
        <f>SUMIFS([1]Sheet1!D:D,[1]Sheet1!A:A,A375,[1]Sheet1!E:E,"Materia Prima")</f>
        <v>0</v>
      </c>
      <c r="G375" s="2">
        <f t="shared" si="20"/>
        <v>5.046153846153846E-2</v>
      </c>
      <c r="H375">
        <f t="shared" si="21"/>
        <v>1</v>
      </c>
      <c r="I375" s="2">
        <f t="shared" si="22"/>
        <v>5.046153846153846E-2</v>
      </c>
      <c r="J375" s="2">
        <f t="shared" si="23"/>
        <v>0</v>
      </c>
    </row>
    <row r="376" spans="1:10" x14ac:dyDescent="0.3">
      <c r="A376">
        <v>1000017351</v>
      </c>
      <c r="B376" s="1">
        <f>VLOOKUP(A376,[1]Sheet1!A:B,2,FALSE)</f>
        <v>40562</v>
      </c>
      <c r="C376" s="2">
        <v>0</v>
      </c>
      <c r="D376" s="2">
        <f>SUMIFS([1]Sheet1!D:D,[1]Sheet1!A:A,A376,[1]Sheet1!E:E,"Figurado")</f>
        <v>131.19999999999999</v>
      </c>
      <c r="E376" s="2">
        <f>SUMIFS([1]Sheet1!D:D,[1]Sheet1!A:A,A376,[1]Sheet1!E:E,"Mallas")</f>
        <v>0</v>
      </c>
      <c r="F376" s="2">
        <f>SUMIFS([1]Sheet1!D:D,[1]Sheet1!A:A,A376,[1]Sheet1!E:E,"Materia Prima")</f>
        <v>0</v>
      </c>
      <c r="G376" s="2">
        <f t="shared" si="20"/>
        <v>5.046153846153846E-2</v>
      </c>
      <c r="H376">
        <f t="shared" si="21"/>
        <v>1</v>
      </c>
      <c r="I376" s="2">
        <f t="shared" si="22"/>
        <v>5.046153846153846E-2</v>
      </c>
      <c r="J376" s="2">
        <f t="shared" si="23"/>
        <v>0</v>
      </c>
    </row>
    <row r="377" spans="1:10" x14ac:dyDescent="0.3">
      <c r="A377">
        <v>1000017352</v>
      </c>
      <c r="B377" s="1">
        <f>VLOOKUP(A377,[1]Sheet1!A:B,2,FALSE)</f>
        <v>40562</v>
      </c>
      <c r="C377" s="2">
        <v>0</v>
      </c>
      <c r="D377" s="2">
        <f>SUMIFS([1]Sheet1!D:D,[1]Sheet1!A:A,A377,[1]Sheet1!E:E,"Figurado")</f>
        <v>131.19999999999999</v>
      </c>
      <c r="E377" s="2">
        <f>SUMIFS([1]Sheet1!D:D,[1]Sheet1!A:A,A377,[1]Sheet1!E:E,"Mallas")</f>
        <v>0</v>
      </c>
      <c r="F377" s="2">
        <f>SUMIFS([1]Sheet1!D:D,[1]Sheet1!A:A,A377,[1]Sheet1!E:E,"Materia Prima")</f>
        <v>0</v>
      </c>
      <c r="G377" s="2">
        <f t="shared" si="20"/>
        <v>5.046153846153846E-2</v>
      </c>
      <c r="H377">
        <f t="shared" si="21"/>
        <v>1</v>
      </c>
      <c r="I377" s="2">
        <f t="shared" si="22"/>
        <v>5.046153846153846E-2</v>
      </c>
      <c r="J377" s="2">
        <f t="shared" si="23"/>
        <v>0</v>
      </c>
    </row>
    <row r="378" spans="1:10" x14ac:dyDescent="0.3">
      <c r="A378">
        <v>1000017355</v>
      </c>
      <c r="B378" s="1">
        <f>VLOOKUP(A378,[1]Sheet1!A:B,2,FALSE)</f>
        <v>40562</v>
      </c>
      <c r="C378" s="2">
        <v>0</v>
      </c>
      <c r="D378" s="2">
        <f>SUMIFS([1]Sheet1!D:D,[1]Sheet1!A:A,A378,[1]Sheet1!E:E,"Figurado")</f>
        <v>0</v>
      </c>
      <c r="E378" s="2">
        <f>SUMIFS([1]Sheet1!D:D,[1]Sheet1!A:A,A378,[1]Sheet1!E:E,"Mallas")</f>
        <v>0</v>
      </c>
      <c r="F378" s="2">
        <f>SUMIFS([1]Sheet1!D:D,[1]Sheet1!A:A,A378,[1]Sheet1!E:E,"Materia Prima")</f>
        <v>1512</v>
      </c>
      <c r="G378" s="2">
        <f t="shared" si="20"/>
        <v>0</v>
      </c>
      <c r="H378">
        <f t="shared" si="21"/>
        <v>1</v>
      </c>
      <c r="I378" s="2">
        <f t="shared" si="22"/>
        <v>0</v>
      </c>
      <c r="J378" s="2">
        <f t="shared" si="23"/>
        <v>0</v>
      </c>
    </row>
    <row r="379" spans="1:10" x14ac:dyDescent="0.3">
      <c r="A379">
        <v>1000017362</v>
      </c>
      <c r="B379" s="1">
        <f>VLOOKUP(A379,[1]Sheet1!A:B,2,FALSE)</f>
        <v>40563</v>
      </c>
      <c r="C379" s="2">
        <v>0</v>
      </c>
      <c r="D379" s="2">
        <f>SUMIFS([1]Sheet1!D:D,[1]Sheet1!A:A,A379,[1]Sheet1!E:E,"Figurado")</f>
        <v>7378.6</v>
      </c>
      <c r="E379" s="2">
        <f>SUMIFS([1]Sheet1!D:D,[1]Sheet1!A:A,A379,[1]Sheet1!E:E,"Mallas")</f>
        <v>0</v>
      </c>
      <c r="F379" s="2">
        <f>SUMIFS([1]Sheet1!D:D,[1]Sheet1!A:A,A379,[1]Sheet1!E:E,"Materia Prima")</f>
        <v>0</v>
      </c>
      <c r="G379" s="2">
        <f t="shared" si="20"/>
        <v>2.8379230769230772</v>
      </c>
      <c r="H379">
        <f t="shared" si="21"/>
        <v>1</v>
      </c>
      <c r="I379" s="2">
        <f t="shared" si="22"/>
        <v>2.8379230769230772</v>
      </c>
      <c r="J379" s="2">
        <f t="shared" si="23"/>
        <v>0</v>
      </c>
    </row>
    <row r="380" spans="1:10" x14ac:dyDescent="0.3">
      <c r="A380">
        <v>1000017364</v>
      </c>
      <c r="B380" s="1">
        <f>VLOOKUP(A380,[1]Sheet1!A:B,2,FALSE)</f>
        <v>40563</v>
      </c>
      <c r="C380" s="2">
        <v>0</v>
      </c>
      <c r="D380" s="2">
        <f>SUMIFS([1]Sheet1!D:D,[1]Sheet1!A:A,A380,[1]Sheet1!E:E,"Figurado")</f>
        <v>8390</v>
      </c>
      <c r="E380" s="2">
        <f>SUMIFS([1]Sheet1!D:D,[1]Sheet1!A:A,A380,[1]Sheet1!E:E,"Mallas")</f>
        <v>0</v>
      </c>
      <c r="F380" s="2">
        <f>SUMIFS([1]Sheet1!D:D,[1]Sheet1!A:A,A380,[1]Sheet1!E:E,"Materia Prima")</f>
        <v>0</v>
      </c>
      <c r="G380" s="2">
        <f t="shared" si="20"/>
        <v>3.226923076923077</v>
      </c>
      <c r="H380">
        <f t="shared" si="21"/>
        <v>1</v>
      </c>
      <c r="I380" s="2">
        <f t="shared" si="22"/>
        <v>3.226923076923077</v>
      </c>
      <c r="J380" s="2">
        <f t="shared" si="23"/>
        <v>0</v>
      </c>
    </row>
    <row r="381" spans="1:10" x14ac:dyDescent="0.3">
      <c r="A381">
        <v>1000017368</v>
      </c>
      <c r="B381" s="1">
        <f>VLOOKUP(A381,[1]Sheet1!A:B,2,FALSE)</f>
        <v>40563</v>
      </c>
      <c r="C381" s="2">
        <v>0</v>
      </c>
      <c r="D381" s="2">
        <f>SUMIFS([1]Sheet1!D:D,[1]Sheet1!A:A,A381,[1]Sheet1!E:E,"Figurado")</f>
        <v>8527.7999999999993</v>
      </c>
      <c r="E381" s="2">
        <f>SUMIFS([1]Sheet1!D:D,[1]Sheet1!A:A,A381,[1]Sheet1!E:E,"Mallas")</f>
        <v>0</v>
      </c>
      <c r="F381" s="2">
        <f>SUMIFS([1]Sheet1!D:D,[1]Sheet1!A:A,A381,[1]Sheet1!E:E,"Materia Prima")</f>
        <v>0</v>
      </c>
      <c r="G381" s="2">
        <f t="shared" si="20"/>
        <v>3.2799230769230765</v>
      </c>
      <c r="H381">
        <f t="shared" si="21"/>
        <v>1</v>
      </c>
      <c r="I381" s="2">
        <f t="shared" si="22"/>
        <v>3.2799230769230765</v>
      </c>
      <c r="J381" s="2">
        <f t="shared" si="23"/>
        <v>0</v>
      </c>
    </row>
    <row r="382" spans="1:10" x14ac:dyDescent="0.3">
      <c r="A382">
        <v>1000017369</v>
      </c>
      <c r="B382" s="1">
        <f>VLOOKUP(A382,[1]Sheet1!A:B,2,FALSE)</f>
        <v>40563</v>
      </c>
      <c r="C382" s="2">
        <v>0</v>
      </c>
      <c r="D382" s="2">
        <f>SUMIFS([1]Sheet1!D:D,[1]Sheet1!A:A,A382,[1]Sheet1!E:E,"Figurado")</f>
        <v>0</v>
      </c>
      <c r="E382" s="2">
        <f>SUMIFS([1]Sheet1!D:D,[1]Sheet1!A:A,A382,[1]Sheet1!E:E,"Mallas")</f>
        <v>403.75</v>
      </c>
      <c r="F382" s="2">
        <f>SUMIFS([1]Sheet1!D:D,[1]Sheet1!A:A,A382,[1]Sheet1!E:E,"Materia Prima")</f>
        <v>0</v>
      </c>
      <c r="G382" s="2">
        <f t="shared" si="20"/>
        <v>0.50468749999999996</v>
      </c>
      <c r="H382">
        <f t="shared" si="21"/>
        <v>1</v>
      </c>
      <c r="I382" s="2">
        <f t="shared" si="22"/>
        <v>0</v>
      </c>
      <c r="J382" s="2">
        <f t="shared" si="23"/>
        <v>0.50468749999999996</v>
      </c>
    </row>
    <row r="383" spans="1:10" x14ac:dyDescent="0.3">
      <c r="A383">
        <v>1000017370</v>
      </c>
      <c r="B383" s="1">
        <f>VLOOKUP(A383,[1]Sheet1!A:B,2,FALSE)</f>
        <v>40563</v>
      </c>
      <c r="C383" s="2">
        <v>0</v>
      </c>
      <c r="D383" s="2">
        <f>SUMIFS([1]Sheet1!D:D,[1]Sheet1!A:A,A383,[1]Sheet1!E:E,"Figurado")</f>
        <v>0</v>
      </c>
      <c r="E383" s="2">
        <f>SUMIFS([1]Sheet1!D:D,[1]Sheet1!A:A,A383,[1]Sheet1!E:E,"Mallas")</f>
        <v>210.9</v>
      </c>
      <c r="F383" s="2">
        <f>SUMIFS([1]Sheet1!D:D,[1]Sheet1!A:A,A383,[1]Sheet1!E:E,"Materia Prima")</f>
        <v>0</v>
      </c>
      <c r="G383" s="2">
        <f t="shared" si="20"/>
        <v>0.263625</v>
      </c>
      <c r="H383">
        <f t="shared" si="21"/>
        <v>1</v>
      </c>
      <c r="I383" s="2">
        <f t="shared" si="22"/>
        <v>0</v>
      </c>
      <c r="J383" s="2">
        <f t="shared" si="23"/>
        <v>0.263625</v>
      </c>
    </row>
    <row r="384" spans="1:10" x14ac:dyDescent="0.3">
      <c r="A384">
        <v>1000017376</v>
      </c>
      <c r="B384" s="1">
        <f>VLOOKUP(A384,[1]Sheet1!A:B,2,FALSE)</f>
        <v>40563</v>
      </c>
      <c r="C384" s="2">
        <v>0</v>
      </c>
      <c r="D384" s="2">
        <f>SUMIFS([1]Sheet1!D:D,[1]Sheet1!A:A,A384,[1]Sheet1!E:E,"Figurado")</f>
        <v>0</v>
      </c>
      <c r="E384" s="2">
        <f>SUMIFS([1]Sheet1!D:D,[1]Sheet1!A:A,A384,[1]Sheet1!E:E,"Mallas")</f>
        <v>0</v>
      </c>
      <c r="F384" s="2">
        <f>SUMIFS([1]Sheet1!D:D,[1]Sheet1!A:A,A384,[1]Sheet1!E:E,"Materia Prima")</f>
        <v>600</v>
      </c>
      <c r="G384" s="2">
        <f t="shared" si="20"/>
        <v>0</v>
      </c>
      <c r="H384">
        <f t="shared" si="21"/>
        <v>1</v>
      </c>
      <c r="I384" s="2">
        <f t="shared" si="22"/>
        <v>0</v>
      </c>
      <c r="J384" s="2">
        <f t="shared" si="23"/>
        <v>0</v>
      </c>
    </row>
    <row r="385" spans="1:10" x14ac:dyDescent="0.3">
      <c r="A385">
        <v>1000017377</v>
      </c>
      <c r="B385" s="1">
        <f>VLOOKUP(A385,[1]Sheet1!A:B,2,FALSE)</f>
        <v>40563</v>
      </c>
      <c r="C385" s="2">
        <v>0</v>
      </c>
      <c r="D385" s="2">
        <f>SUMIFS([1]Sheet1!D:D,[1]Sheet1!A:A,A385,[1]Sheet1!E:E,"Figurado")</f>
        <v>8127.8</v>
      </c>
      <c r="E385" s="2">
        <f>SUMIFS([1]Sheet1!D:D,[1]Sheet1!A:A,A385,[1]Sheet1!E:E,"Mallas")</f>
        <v>0</v>
      </c>
      <c r="F385" s="2">
        <f>SUMIFS([1]Sheet1!D:D,[1]Sheet1!A:A,A385,[1]Sheet1!E:E,"Materia Prima")</f>
        <v>0</v>
      </c>
      <c r="G385" s="2">
        <f t="shared" si="20"/>
        <v>3.1260769230769232</v>
      </c>
      <c r="H385">
        <f t="shared" si="21"/>
        <v>1</v>
      </c>
      <c r="I385" s="2">
        <f t="shared" si="22"/>
        <v>3.1260769230769232</v>
      </c>
      <c r="J385" s="2">
        <f t="shared" si="23"/>
        <v>0</v>
      </c>
    </row>
    <row r="386" spans="1:10" x14ac:dyDescent="0.3">
      <c r="A386">
        <v>1000017378</v>
      </c>
      <c r="B386" s="1">
        <f>VLOOKUP(A386,[1]Sheet1!A:B,2,FALSE)</f>
        <v>40563</v>
      </c>
      <c r="C386" s="2">
        <v>0</v>
      </c>
      <c r="D386" s="2">
        <f>SUMIFS([1]Sheet1!D:D,[1]Sheet1!A:A,A386,[1]Sheet1!E:E,"Figurado")</f>
        <v>2951.8</v>
      </c>
      <c r="E386" s="2">
        <f>SUMIFS([1]Sheet1!D:D,[1]Sheet1!A:A,A386,[1]Sheet1!E:E,"Mallas")</f>
        <v>0</v>
      </c>
      <c r="F386" s="2">
        <f>SUMIFS([1]Sheet1!D:D,[1]Sheet1!A:A,A386,[1]Sheet1!E:E,"Materia Prima")</f>
        <v>0</v>
      </c>
      <c r="G386" s="2">
        <f t="shared" si="20"/>
        <v>1.1353076923076924</v>
      </c>
      <c r="H386">
        <f t="shared" si="21"/>
        <v>1</v>
      </c>
      <c r="I386" s="2">
        <f t="shared" si="22"/>
        <v>1.1353076923076924</v>
      </c>
      <c r="J386" s="2">
        <f t="shared" si="23"/>
        <v>0</v>
      </c>
    </row>
    <row r="387" spans="1:10" x14ac:dyDescent="0.3">
      <c r="A387">
        <v>1000017382</v>
      </c>
      <c r="B387" s="1">
        <f>VLOOKUP(A387,[1]Sheet1!A:B,2,FALSE)</f>
        <v>40563</v>
      </c>
      <c r="C387" s="2">
        <v>0</v>
      </c>
      <c r="D387" s="2">
        <f>SUMIFS([1]Sheet1!D:D,[1]Sheet1!A:A,A387,[1]Sheet1!E:E,"Figurado")</f>
        <v>11501.8</v>
      </c>
      <c r="E387" s="2">
        <f>SUMIFS([1]Sheet1!D:D,[1]Sheet1!A:A,A387,[1]Sheet1!E:E,"Mallas")</f>
        <v>0</v>
      </c>
      <c r="F387" s="2">
        <f>SUMIFS([1]Sheet1!D:D,[1]Sheet1!A:A,A387,[1]Sheet1!E:E,"Materia Prima")</f>
        <v>0</v>
      </c>
      <c r="G387" s="2">
        <f t="shared" ref="G387:G450" si="24">(D387/2600)+(E387/800)</f>
        <v>4.4237692307692305</v>
      </c>
      <c r="H387">
        <f t="shared" ref="H387:H450" si="25">(IF(D387&gt;0,1,0) + IF(E387&gt;0,1,0) + IF(F387&gt;0,1,0))</f>
        <v>1</v>
      </c>
      <c r="I387" s="2">
        <f t="shared" ref="I387:I450" si="26">D387/2600</f>
        <v>4.4237692307692305</v>
      </c>
      <c r="J387" s="2">
        <f t="shared" ref="J387:J450" si="27">E387/800</f>
        <v>0</v>
      </c>
    </row>
    <row r="388" spans="1:10" x14ac:dyDescent="0.3">
      <c r="A388">
        <v>1000017383</v>
      </c>
      <c r="B388" s="1">
        <f>VLOOKUP(A388,[1]Sheet1!A:B,2,FALSE)</f>
        <v>40564</v>
      </c>
      <c r="C388" s="2">
        <v>0</v>
      </c>
      <c r="D388" s="2">
        <f>SUMIFS([1]Sheet1!D:D,[1]Sheet1!A:A,A388,[1]Sheet1!E:E,"Figurado")</f>
        <v>341</v>
      </c>
      <c r="E388" s="2">
        <f>SUMIFS([1]Sheet1!D:D,[1]Sheet1!A:A,A388,[1]Sheet1!E:E,"Mallas")</f>
        <v>0</v>
      </c>
      <c r="F388" s="2">
        <f>SUMIFS([1]Sheet1!D:D,[1]Sheet1!A:A,A388,[1]Sheet1!E:E,"Materia Prima")</f>
        <v>0</v>
      </c>
      <c r="G388" s="2">
        <f t="shared" si="24"/>
        <v>0.13115384615384615</v>
      </c>
      <c r="H388">
        <f t="shared" si="25"/>
        <v>1</v>
      </c>
      <c r="I388" s="2">
        <f t="shared" si="26"/>
        <v>0.13115384615384615</v>
      </c>
      <c r="J388" s="2">
        <f t="shared" si="27"/>
        <v>0</v>
      </c>
    </row>
    <row r="389" spans="1:10" x14ac:dyDescent="0.3">
      <c r="A389">
        <v>1000017384</v>
      </c>
      <c r="B389" s="1">
        <f>VLOOKUP(A389,[1]Sheet1!A:B,2,FALSE)</f>
        <v>40564</v>
      </c>
      <c r="C389" s="2">
        <v>0</v>
      </c>
      <c r="D389" s="2">
        <f>SUMIFS([1]Sheet1!D:D,[1]Sheet1!A:A,A389,[1]Sheet1!E:E,"Figurado")</f>
        <v>2347.1</v>
      </c>
      <c r="E389" s="2">
        <f>SUMIFS([1]Sheet1!D:D,[1]Sheet1!A:A,A389,[1]Sheet1!E:E,"Mallas")</f>
        <v>0</v>
      </c>
      <c r="F389" s="2">
        <f>SUMIFS([1]Sheet1!D:D,[1]Sheet1!A:A,A389,[1]Sheet1!E:E,"Materia Prima")</f>
        <v>0</v>
      </c>
      <c r="G389" s="2">
        <f t="shared" si="24"/>
        <v>0.90273076923076923</v>
      </c>
      <c r="H389">
        <f t="shared" si="25"/>
        <v>1</v>
      </c>
      <c r="I389" s="2">
        <f t="shared" si="26"/>
        <v>0.90273076923076923</v>
      </c>
      <c r="J389" s="2">
        <f t="shared" si="27"/>
        <v>0</v>
      </c>
    </row>
    <row r="390" spans="1:10" x14ac:dyDescent="0.3">
      <c r="A390">
        <v>1000017385</v>
      </c>
      <c r="B390" s="1">
        <f>VLOOKUP(A390,[1]Sheet1!A:B,2,FALSE)</f>
        <v>40564</v>
      </c>
      <c r="C390" s="2">
        <v>0</v>
      </c>
      <c r="D390" s="2">
        <f>SUMIFS([1]Sheet1!D:D,[1]Sheet1!A:A,A390,[1]Sheet1!E:E,"Figurado")</f>
        <v>1589.7</v>
      </c>
      <c r="E390" s="2">
        <f>SUMIFS([1]Sheet1!D:D,[1]Sheet1!A:A,A390,[1]Sheet1!E:E,"Mallas")</f>
        <v>0</v>
      </c>
      <c r="F390" s="2">
        <f>SUMIFS([1]Sheet1!D:D,[1]Sheet1!A:A,A390,[1]Sheet1!E:E,"Materia Prima")</f>
        <v>0</v>
      </c>
      <c r="G390" s="2">
        <f t="shared" si="24"/>
        <v>0.61142307692307696</v>
      </c>
      <c r="H390">
        <f t="shared" si="25"/>
        <v>1</v>
      </c>
      <c r="I390" s="2">
        <f t="shared" si="26"/>
        <v>0.61142307692307696</v>
      </c>
      <c r="J390" s="2">
        <f t="shared" si="27"/>
        <v>0</v>
      </c>
    </row>
    <row r="391" spans="1:10" x14ac:dyDescent="0.3">
      <c r="A391">
        <v>1000017386</v>
      </c>
      <c r="B391" s="1">
        <f>VLOOKUP(A391,[1]Sheet1!A:B,2,FALSE)</f>
        <v>40564</v>
      </c>
      <c r="C391" s="2">
        <v>0</v>
      </c>
      <c r="D391" s="2">
        <f>SUMIFS([1]Sheet1!D:D,[1]Sheet1!A:A,A391,[1]Sheet1!E:E,"Figurado")</f>
        <v>10078.799999999999</v>
      </c>
      <c r="E391" s="2">
        <f>SUMIFS([1]Sheet1!D:D,[1]Sheet1!A:A,A391,[1]Sheet1!E:E,"Mallas")</f>
        <v>0</v>
      </c>
      <c r="F391" s="2">
        <f>SUMIFS([1]Sheet1!D:D,[1]Sheet1!A:A,A391,[1]Sheet1!E:E,"Materia Prima")</f>
        <v>0</v>
      </c>
      <c r="G391" s="2">
        <f t="shared" si="24"/>
        <v>3.8764615384615384</v>
      </c>
      <c r="H391">
        <f t="shared" si="25"/>
        <v>1</v>
      </c>
      <c r="I391" s="2">
        <f t="shared" si="26"/>
        <v>3.8764615384615384</v>
      </c>
      <c r="J391" s="2">
        <f t="shared" si="27"/>
        <v>0</v>
      </c>
    </row>
    <row r="392" spans="1:10" x14ac:dyDescent="0.3">
      <c r="A392">
        <v>1000017390</v>
      </c>
      <c r="B392" s="1">
        <f>VLOOKUP(A392,[1]Sheet1!A:B,2,FALSE)</f>
        <v>40564</v>
      </c>
      <c r="C392" s="2">
        <v>0</v>
      </c>
      <c r="D392" s="2">
        <f>SUMIFS([1]Sheet1!D:D,[1]Sheet1!A:A,A392,[1]Sheet1!E:E,"Figurado")</f>
        <v>6215.5</v>
      </c>
      <c r="E392" s="2">
        <f>SUMIFS([1]Sheet1!D:D,[1]Sheet1!A:A,A392,[1]Sheet1!E:E,"Mallas")</f>
        <v>0</v>
      </c>
      <c r="F392" s="2">
        <f>SUMIFS([1]Sheet1!D:D,[1]Sheet1!A:A,A392,[1]Sheet1!E:E,"Materia Prima")</f>
        <v>2376</v>
      </c>
      <c r="G392" s="2">
        <f t="shared" si="24"/>
        <v>2.3905769230769232</v>
      </c>
      <c r="H392">
        <f t="shared" si="25"/>
        <v>2</v>
      </c>
      <c r="I392" s="2">
        <f t="shared" si="26"/>
        <v>2.3905769230769232</v>
      </c>
      <c r="J392" s="2">
        <f t="shared" si="27"/>
        <v>0</v>
      </c>
    </row>
    <row r="393" spans="1:10" x14ac:dyDescent="0.3">
      <c r="A393">
        <v>1000017391</v>
      </c>
      <c r="B393" s="1">
        <f>VLOOKUP(A393,[1]Sheet1!A:B,2,FALSE)</f>
        <v>40564</v>
      </c>
      <c r="C393" s="2">
        <v>0</v>
      </c>
      <c r="D393" s="2">
        <f>SUMIFS([1]Sheet1!D:D,[1]Sheet1!A:A,A393,[1]Sheet1!E:E,"Figurado")</f>
        <v>800.6</v>
      </c>
      <c r="E393" s="2">
        <f>SUMIFS([1]Sheet1!D:D,[1]Sheet1!A:A,A393,[1]Sheet1!E:E,"Mallas")</f>
        <v>0</v>
      </c>
      <c r="F393" s="2">
        <f>SUMIFS([1]Sheet1!D:D,[1]Sheet1!A:A,A393,[1]Sheet1!E:E,"Materia Prima")</f>
        <v>0</v>
      </c>
      <c r="G393" s="2">
        <f t="shared" si="24"/>
        <v>0.30792307692307691</v>
      </c>
      <c r="H393">
        <f t="shared" si="25"/>
        <v>1</v>
      </c>
      <c r="I393" s="2">
        <f t="shared" si="26"/>
        <v>0.30792307692307691</v>
      </c>
      <c r="J393" s="2">
        <f t="shared" si="27"/>
        <v>0</v>
      </c>
    </row>
    <row r="394" spans="1:10" x14ac:dyDescent="0.3">
      <c r="A394">
        <v>1000017395</v>
      </c>
      <c r="B394" s="1">
        <f>VLOOKUP(A394,[1]Sheet1!A:B,2,FALSE)</f>
        <v>40564</v>
      </c>
      <c r="C394" s="2">
        <v>0</v>
      </c>
      <c r="D394" s="2">
        <f>SUMIFS([1]Sheet1!D:D,[1]Sheet1!A:A,A394,[1]Sheet1!E:E,"Figurado")</f>
        <v>11676.2</v>
      </c>
      <c r="E394" s="2">
        <f>SUMIFS([1]Sheet1!D:D,[1]Sheet1!A:A,A394,[1]Sheet1!E:E,"Mallas")</f>
        <v>0</v>
      </c>
      <c r="F394" s="2">
        <f>SUMIFS([1]Sheet1!D:D,[1]Sheet1!A:A,A394,[1]Sheet1!E:E,"Materia Prima")</f>
        <v>0</v>
      </c>
      <c r="G394" s="2">
        <f t="shared" si="24"/>
        <v>4.4908461538461539</v>
      </c>
      <c r="H394">
        <f t="shared" si="25"/>
        <v>1</v>
      </c>
      <c r="I394" s="2">
        <f t="shared" si="26"/>
        <v>4.4908461538461539</v>
      </c>
      <c r="J394" s="2">
        <f t="shared" si="27"/>
        <v>0</v>
      </c>
    </row>
    <row r="395" spans="1:10" x14ac:dyDescent="0.3">
      <c r="A395">
        <v>1000017404</v>
      </c>
      <c r="B395" s="1">
        <f>VLOOKUP(A395,[1]Sheet1!A:B,2,FALSE)</f>
        <v>40564</v>
      </c>
      <c r="C395" s="2">
        <v>0</v>
      </c>
      <c r="D395" s="2">
        <f>SUMIFS([1]Sheet1!D:D,[1]Sheet1!A:A,A395,[1]Sheet1!E:E,"Figurado")</f>
        <v>4084.9000000000005</v>
      </c>
      <c r="E395" s="2">
        <f>SUMIFS([1]Sheet1!D:D,[1]Sheet1!A:A,A395,[1]Sheet1!E:E,"Mallas")</f>
        <v>0</v>
      </c>
      <c r="F395" s="2">
        <f>SUMIFS([1]Sheet1!D:D,[1]Sheet1!A:A,A395,[1]Sheet1!E:E,"Materia Prima")</f>
        <v>0</v>
      </c>
      <c r="G395" s="2">
        <f t="shared" si="24"/>
        <v>1.5711153846153849</v>
      </c>
      <c r="H395">
        <f t="shared" si="25"/>
        <v>1</v>
      </c>
      <c r="I395" s="2">
        <f t="shared" si="26"/>
        <v>1.5711153846153849</v>
      </c>
      <c r="J395" s="2">
        <f t="shared" si="27"/>
        <v>0</v>
      </c>
    </row>
    <row r="396" spans="1:10" x14ac:dyDescent="0.3">
      <c r="A396">
        <v>1000017405</v>
      </c>
      <c r="B396" s="1">
        <f>VLOOKUP(A396,[1]Sheet1!A:B,2,FALSE)</f>
        <v>40564</v>
      </c>
      <c r="C396" s="2">
        <v>0</v>
      </c>
      <c r="D396" s="2">
        <f>SUMIFS([1]Sheet1!D:D,[1]Sheet1!A:A,A396,[1]Sheet1!E:E,"Figurado")</f>
        <v>66.599999999999994</v>
      </c>
      <c r="E396" s="2">
        <f>SUMIFS([1]Sheet1!D:D,[1]Sheet1!A:A,A396,[1]Sheet1!E:E,"Mallas")</f>
        <v>0</v>
      </c>
      <c r="F396" s="2">
        <f>SUMIFS([1]Sheet1!D:D,[1]Sheet1!A:A,A396,[1]Sheet1!E:E,"Materia Prima")</f>
        <v>0</v>
      </c>
      <c r="G396" s="2">
        <f t="shared" si="24"/>
        <v>2.5615384615384613E-2</v>
      </c>
      <c r="H396">
        <f t="shared" si="25"/>
        <v>1</v>
      </c>
      <c r="I396" s="2">
        <f t="shared" si="26"/>
        <v>2.5615384615384613E-2</v>
      </c>
      <c r="J396" s="2">
        <f t="shared" si="27"/>
        <v>0</v>
      </c>
    </row>
    <row r="397" spans="1:10" x14ac:dyDescent="0.3">
      <c r="A397">
        <v>1000017406</v>
      </c>
      <c r="B397" s="1">
        <f>VLOOKUP(A397,[1]Sheet1!A:B,2,FALSE)</f>
        <v>40564</v>
      </c>
      <c r="C397" s="2">
        <v>0</v>
      </c>
      <c r="D397" s="2">
        <f>SUMIFS([1]Sheet1!D:D,[1]Sheet1!A:A,A397,[1]Sheet1!E:E,"Figurado")</f>
        <v>881.8</v>
      </c>
      <c r="E397" s="2">
        <f>SUMIFS([1]Sheet1!D:D,[1]Sheet1!A:A,A397,[1]Sheet1!E:E,"Mallas")</f>
        <v>0</v>
      </c>
      <c r="F397" s="2">
        <f>SUMIFS([1]Sheet1!D:D,[1]Sheet1!A:A,A397,[1]Sheet1!E:E,"Materia Prima")</f>
        <v>0</v>
      </c>
      <c r="G397" s="2">
        <f t="shared" si="24"/>
        <v>0.33915384615384614</v>
      </c>
      <c r="H397">
        <f t="shared" si="25"/>
        <v>1</v>
      </c>
      <c r="I397" s="2">
        <f t="shared" si="26"/>
        <v>0.33915384615384614</v>
      </c>
      <c r="J397" s="2">
        <f t="shared" si="27"/>
        <v>0</v>
      </c>
    </row>
    <row r="398" spans="1:10" x14ac:dyDescent="0.3">
      <c r="A398">
        <v>1000017407</v>
      </c>
      <c r="B398" s="1">
        <f>VLOOKUP(A398,[1]Sheet1!A:B,2,FALSE)</f>
        <v>40564</v>
      </c>
      <c r="C398" s="2">
        <v>0</v>
      </c>
      <c r="D398" s="2">
        <f>SUMIFS([1]Sheet1!D:D,[1]Sheet1!A:A,A398,[1]Sheet1!E:E,"Figurado")</f>
        <v>400.8</v>
      </c>
      <c r="E398" s="2">
        <f>SUMIFS([1]Sheet1!D:D,[1]Sheet1!A:A,A398,[1]Sheet1!E:E,"Mallas")</f>
        <v>0</v>
      </c>
      <c r="F398" s="2">
        <f>SUMIFS([1]Sheet1!D:D,[1]Sheet1!A:A,A398,[1]Sheet1!E:E,"Materia Prima")</f>
        <v>0</v>
      </c>
      <c r="G398" s="2">
        <f t="shared" si="24"/>
        <v>0.15415384615384617</v>
      </c>
      <c r="H398">
        <f t="shared" si="25"/>
        <v>1</v>
      </c>
      <c r="I398" s="2">
        <f t="shared" si="26"/>
        <v>0.15415384615384617</v>
      </c>
      <c r="J398" s="2">
        <f t="shared" si="27"/>
        <v>0</v>
      </c>
    </row>
    <row r="399" spans="1:10" x14ac:dyDescent="0.3">
      <c r="A399">
        <v>1000017408</v>
      </c>
      <c r="B399" s="1">
        <f>VLOOKUP(A399,[1]Sheet1!A:B,2,FALSE)</f>
        <v>40564</v>
      </c>
      <c r="C399" s="2">
        <v>0</v>
      </c>
      <c r="D399" s="2">
        <f>SUMIFS([1]Sheet1!D:D,[1]Sheet1!A:A,A399,[1]Sheet1!E:E,"Figurado")</f>
        <v>2376</v>
      </c>
      <c r="E399" s="2">
        <f>SUMIFS([1]Sheet1!D:D,[1]Sheet1!A:A,A399,[1]Sheet1!E:E,"Mallas")</f>
        <v>0</v>
      </c>
      <c r="F399" s="2">
        <f>SUMIFS([1]Sheet1!D:D,[1]Sheet1!A:A,A399,[1]Sheet1!E:E,"Materia Prima")</f>
        <v>0</v>
      </c>
      <c r="G399" s="2">
        <f t="shared" si="24"/>
        <v>0.91384615384615386</v>
      </c>
      <c r="H399">
        <f t="shared" si="25"/>
        <v>1</v>
      </c>
      <c r="I399" s="2">
        <f t="shared" si="26"/>
        <v>0.91384615384615386</v>
      </c>
      <c r="J399" s="2">
        <f t="shared" si="27"/>
        <v>0</v>
      </c>
    </row>
    <row r="400" spans="1:10" x14ac:dyDescent="0.3">
      <c r="A400">
        <v>1000017409</v>
      </c>
      <c r="B400" s="1">
        <f>VLOOKUP(A400,[1]Sheet1!A:B,2,FALSE)</f>
        <v>40564</v>
      </c>
      <c r="C400" s="2">
        <v>0</v>
      </c>
      <c r="D400" s="2">
        <f>SUMIFS([1]Sheet1!D:D,[1]Sheet1!A:A,A400,[1]Sheet1!E:E,"Figurado")</f>
        <v>66.599999999999994</v>
      </c>
      <c r="E400" s="2">
        <f>SUMIFS([1]Sheet1!D:D,[1]Sheet1!A:A,A400,[1]Sheet1!E:E,"Mallas")</f>
        <v>0</v>
      </c>
      <c r="F400" s="2">
        <f>SUMIFS([1]Sheet1!D:D,[1]Sheet1!A:A,A400,[1]Sheet1!E:E,"Materia Prima")</f>
        <v>0</v>
      </c>
      <c r="G400" s="2">
        <f t="shared" si="24"/>
        <v>2.5615384615384613E-2</v>
      </c>
      <c r="H400">
        <f t="shared" si="25"/>
        <v>1</v>
      </c>
      <c r="I400" s="2">
        <f t="shared" si="26"/>
        <v>2.5615384615384613E-2</v>
      </c>
      <c r="J400" s="2">
        <f t="shared" si="27"/>
        <v>0</v>
      </c>
    </row>
    <row r="401" spans="1:10" x14ac:dyDescent="0.3">
      <c r="A401">
        <v>1000017200</v>
      </c>
      <c r="B401" s="1">
        <f>VLOOKUP(A401,[1]Sheet1!A:B,2,FALSE)</f>
        <v>40556</v>
      </c>
      <c r="C401" s="2">
        <v>0</v>
      </c>
      <c r="D401" s="2">
        <f>SUMIFS([1]Sheet1!D:D,[1]Sheet1!A:A,A401,[1]Sheet1!E:E,"Figurado")</f>
        <v>7468.5999999999995</v>
      </c>
      <c r="E401" s="2">
        <f>SUMIFS([1]Sheet1!D:D,[1]Sheet1!A:A,A401,[1]Sheet1!E:E,"Mallas")</f>
        <v>0</v>
      </c>
      <c r="F401" s="2">
        <f>SUMIFS([1]Sheet1!D:D,[1]Sheet1!A:A,A401,[1]Sheet1!E:E,"Materia Prima")</f>
        <v>53.8</v>
      </c>
      <c r="G401" s="2">
        <f t="shared" si="24"/>
        <v>2.8725384615384613</v>
      </c>
      <c r="H401">
        <f t="shared" si="25"/>
        <v>2</v>
      </c>
      <c r="I401" s="2">
        <f t="shared" si="26"/>
        <v>2.8725384615384613</v>
      </c>
      <c r="J401" s="2">
        <f t="shared" si="27"/>
        <v>0</v>
      </c>
    </row>
    <row r="402" spans="1:10" x14ac:dyDescent="0.3">
      <c r="A402">
        <v>1000017257</v>
      </c>
      <c r="B402" s="1">
        <f>VLOOKUP(A402,[1]Sheet1!A:B,2,FALSE)</f>
        <v>40557</v>
      </c>
      <c r="C402" s="2">
        <v>0</v>
      </c>
      <c r="D402" s="2">
        <f>SUMIFS([1]Sheet1!D:D,[1]Sheet1!A:A,A402,[1]Sheet1!E:E,"Figurado")</f>
        <v>0</v>
      </c>
      <c r="E402" s="2">
        <f>SUMIFS([1]Sheet1!D:D,[1]Sheet1!A:A,A402,[1]Sheet1!E:E,"Mallas")</f>
        <v>0</v>
      </c>
      <c r="F402" s="2">
        <f>SUMIFS([1]Sheet1!D:D,[1]Sheet1!A:A,A402,[1]Sheet1!E:E,"Materia Prima")</f>
        <v>1060</v>
      </c>
      <c r="G402" s="2">
        <f t="shared" si="24"/>
        <v>0</v>
      </c>
      <c r="H402">
        <f t="shared" si="25"/>
        <v>1</v>
      </c>
      <c r="I402" s="2">
        <f t="shared" si="26"/>
        <v>0</v>
      </c>
      <c r="J402" s="2">
        <f t="shared" si="27"/>
        <v>0</v>
      </c>
    </row>
    <row r="403" spans="1:10" x14ac:dyDescent="0.3">
      <c r="A403">
        <v>1000017371</v>
      </c>
      <c r="B403" s="1">
        <f>VLOOKUP(A403,[1]Sheet1!A:B,2,FALSE)</f>
        <v>40563</v>
      </c>
      <c r="C403" s="2">
        <v>0</v>
      </c>
      <c r="D403" s="2">
        <f>SUMIFS([1]Sheet1!D:D,[1]Sheet1!A:A,A403,[1]Sheet1!E:E,"Figurado")</f>
        <v>2194.9</v>
      </c>
      <c r="E403" s="2">
        <f>SUMIFS([1]Sheet1!D:D,[1]Sheet1!A:A,A403,[1]Sheet1!E:E,"Mallas")</f>
        <v>0</v>
      </c>
      <c r="F403" s="2">
        <f>SUMIFS([1]Sheet1!D:D,[1]Sheet1!A:A,A403,[1]Sheet1!E:E,"Materia Prima")</f>
        <v>0</v>
      </c>
      <c r="G403" s="2">
        <f t="shared" si="24"/>
        <v>0.84419230769230769</v>
      </c>
      <c r="H403">
        <f t="shared" si="25"/>
        <v>1</v>
      </c>
      <c r="I403" s="2">
        <f t="shared" si="26"/>
        <v>0.84419230769230769</v>
      </c>
      <c r="J403" s="2">
        <f t="shared" si="27"/>
        <v>0</v>
      </c>
    </row>
    <row r="404" spans="1:10" x14ac:dyDescent="0.3">
      <c r="A404">
        <v>1000017372</v>
      </c>
      <c r="B404" s="1">
        <f>VLOOKUP(A404,[1]Sheet1!A:B,2,FALSE)</f>
        <v>40563</v>
      </c>
      <c r="C404" s="2">
        <v>0</v>
      </c>
      <c r="D404" s="2">
        <f>SUMIFS([1]Sheet1!D:D,[1]Sheet1!A:A,A404,[1]Sheet1!E:E,"Figurado")</f>
        <v>1238.1999999999998</v>
      </c>
      <c r="E404" s="2">
        <f>SUMIFS([1]Sheet1!D:D,[1]Sheet1!A:A,A404,[1]Sheet1!E:E,"Mallas")</f>
        <v>0</v>
      </c>
      <c r="F404" s="2">
        <f>SUMIFS([1]Sheet1!D:D,[1]Sheet1!A:A,A404,[1]Sheet1!E:E,"Materia Prima")</f>
        <v>0</v>
      </c>
      <c r="G404" s="2">
        <f t="shared" si="24"/>
        <v>0.47623076923076918</v>
      </c>
      <c r="H404">
        <f t="shared" si="25"/>
        <v>1</v>
      </c>
      <c r="I404" s="2">
        <f t="shared" si="26"/>
        <v>0.47623076923076918</v>
      </c>
      <c r="J404" s="2">
        <f t="shared" si="27"/>
        <v>0</v>
      </c>
    </row>
    <row r="405" spans="1:10" x14ac:dyDescent="0.3">
      <c r="A405">
        <v>1000017373</v>
      </c>
      <c r="B405" s="1">
        <f>VLOOKUP(A405,[1]Sheet1!A:B,2,FALSE)</f>
        <v>40563</v>
      </c>
      <c r="C405" s="2">
        <v>0</v>
      </c>
      <c r="D405" s="2">
        <f>SUMIFS([1]Sheet1!D:D,[1]Sheet1!A:A,A405,[1]Sheet1!E:E,"Figurado")</f>
        <v>2846.2</v>
      </c>
      <c r="E405" s="2">
        <f>SUMIFS([1]Sheet1!D:D,[1]Sheet1!A:A,A405,[1]Sheet1!E:E,"Mallas")</f>
        <v>0</v>
      </c>
      <c r="F405" s="2">
        <f>SUMIFS([1]Sheet1!D:D,[1]Sheet1!A:A,A405,[1]Sheet1!E:E,"Materia Prima")</f>
        <v>0</v>
      </c>
      <c r="G405" s="2">
        <f t="shared" si="24"/>
        <v>1.0946923076923076</v>
      </c>
      <c r="H405">
        <f t="shared" si="25"/>
        <v>1</v>
      </c>
      <c r="I405" s="2">
        <f t="shared" si="26"/>
        <v>1.0946923076923076</v>
      </c>
      <c r="J405" s="2">
        <f t="shared" si="27"/>
        <v>0</v>
      </c>
    </row>
    <row r="406" spans="1:10" x14ac:dyDescent="0.3">
      <c r="A406">
        <v>1000017374</v>
      </c>
      <c r="B406" s="1">
        <f>VLOOKUP(A406,[1]Sheet1!A:B,2,FALSE)</f>
        <v>40563</v>
      </c>
      <c r="C406" s="2">
        <v>0</v>
      </c>
      <c r="D406" s="2">
        <f>SUMIFS([1]Sheet1!D:D,[1]Sheet1!A:A,A406,[1]Sheet1!E:E,"Figurado")</f>
        <v>0</v>
      </c>
      <c r="E406" s="2">
        <f>SUMIFS([1]Sheet1!D:D,[1]Sheet1!A:A,A406,[1]Sheet1!E:E,"Mallas")</f>
        <v>0</v>
      </c>
      <c r="F406" s="2">
        <f>SUMIFS([1]Sheet1!D:D,[1]Sheet1!A:A,A406,[1]Sheet1!E:E,"Materia Prima")</f>
        <v>35598</v>
      </c>
      <c r="G406" s="2">
        <f t="shared" si="24"/>
        <v>0</v>
      </c>
      <c r="H406">
        <f t="shared" si="25"/>
        <v>1</v>
      </c>
      <c r="I406" s="2">
        <f t="shared" si="26"/>
        <v>0</v>
      </c>
      <c r="J406" s="2">
        <f t="shared" si="27"/>
        <v>0</v>
      </c>
    </row>
    <row r="407" spans="1:10" x14ac:dyDescent="0.3">
      <c r="A407">
        <v>1000017380</v>
      </c>
      <c r="B407" s="1">
        <f>VLOOKUP(A407,[1]Sheet1!A:B,2,FALSE)</f>
        <v>40563</v>
      </c>
      <c r="C407" s="2">
        <v>0</v>
      </c>
      <c r="D407" s="2">
        <f>SUMIFS([1]Sheet1!D:D,[1]Sheet1!A:A,A407,[1]Sheet1!E:E,"Figurado")</f>
        <v>0</v>
      </c>
      <c r="E407" s="2">
        <f>SUMIFS([1]Sheet1!D:D,[1]Sheet1!A:A,A407,[1]Sheet1!E:E,"Mallas")</f>
        <v>9396</v>
      </c>
      <c r="F407" s="2">
        <f>SUMIFS([1]Sheet1!D:D,[1]Sheet1!A:A,A407,[1]Sheet1!E:E,"Materia Prima")</f>
        <v>0</v>
      </c>
      <c r="G407" s="2">
        <f t="shared" si="24"/>
        <v>11.744999999999999</v>
      </c>
      <c r="H407">
        <f t="shared" si="25"/>
        <v>1</v>
      </c>
      <c r="I407" s="2">
        <f t="shared" si="26"/>
        <v>0</v>
      </c>
      <c r="J407" s="2">
        <f t="shared" si="27"/>
        <v>11.744999999999999</v>
      </c>
    </row>
    <row r="408" spans="1:10" x14ac:dyDescent="0.3">
      <c r="A408">
        <v>1000017381</v>
      </c>
      <c r="B408" s="1">
        <f>VLOOKUP(A408,[1]Sheet1!A:B,2,FALSE)</f>
        <v>40563</v>
      </c>
      <c r="C408" s="2">
        <v>0</v>
      </c>
      <c r="D408" s="2">
        <f>SUMIFS([1]Sheet1!D:D,[1]Sheet1!A:A,A408,[1]Sheet1!E:E,"Figurado")</f>
        <v>0</v>
      </c>
      <c r="E408" s="2">
        <f>SUMIFS([1]Sheet1!D:D,[1]Sheet1!A:A,A408,[1]Sheet1!E:E,"Mallas")</f>
        <v>1879.2</v>
      </c>
      <c r="F408" s="2">
        <f>SUMIFS([1]Sheet1!D:D,[1]Sheet1!A:A,A408,[1]Sheet1!E:E,"Materia Prima")</f>
        <v>0</v>
      </c>
      <c r="G408" s="2">
        <f t="shared" si="24"/>
        <v>2.3490000000000002</v>
      </c>
      <c r="H408">
        <f t="shared" si="25"/>
        <v>1</v>
      </c>
      <c r="I408" s="2">
        <f t="shared" si="26"/>
        <v>0</v>
      </c>
      <c r="J408" s="2">
        <f t="shared" si="27"/>
        <v>2.3490000000000002</v>
      </c>
    </row>
    <row r="409" spans="1:10" x14ac:dyDescent="0.3">
      <c r="A409">
        <v>1000017387</v>
      </c>
      <c r="B409" s="1">
        <f>VLOOKUP(A409,[1]Sheet1!A:B,2,FALSE)</f>
        <v>40564</v>
      </c>
      <c r="C409" s="2">
        <v>0</v>
      </c>
      <c r="D409" s="2">
        <f>SUMIFS([1]Sheet1!D:D,[1]Sheet1!A:A,A409,[1]Sheet1!E:E,"Figurado")</f>
        <v>0</v>
      </c>
      <c r="E409" s="2">
        <f>SUMIFS([1]Sheet1!D:D,[1]Sheet1!A:A,A409,[1]Sheet1!E:E,"Mallas")</f>
        <v>3562.5</v>
      </c>
      <c r="F409" s="2">
        <f>SUMIFS([1]Sheet1!D:D,[1]Sheet1!A:A,A409,[1]Sheet1!E:E,"Materia Prima")</f>
        <v>0</v>
      </c>
      <c r="G409" s="2">
        <f t="shared" si="24"/>
        <v>4.453125</v>
      </c>
      <c r="H409">
        <f t="shared" si="25"/>
        <v>1</v>
      </c>
      <c r="I409" s="2">
        <f t="shared" si="26"/>
        <v>0</v>
      </c>
      <c r="J409" s="2">
        <f t="shared" si="27"/>
        <v>4.453125</v>
      </c>
    </row>
    <row r="410" spans="1:10" x14ac:dyDescent="0.3">
      <c r="A410">
        <v>1000017388</v>
      </c>
      <c r="B410" s="1">
        <f>VLOOKUP(A410,[1]Sheet1!A:B,2,FALSE)</f>
        <v>40564</v>
      </c>
      <c r="C410" s="2">
        <v>0</v>
      </c>
      <c r="D410" s="2">
        <f>SUMIFS([1]Sheet1!D:D,[1]Sheet1!A:A,A410,[1]Sheet1!E:E,"Figurado")</f>
        <v>0</v>
      </c>
      <c r="E410" s="2">
        <f>SUMIFS([1]Sheet1!D:D,[1]Sheet1!A:A,A410,[1]Sheet1!E:E,"Mallas")</f>
        <v>2137.5</v>
      </c>
      <c r="F410" s="2">
        <f>SUMIFS([1]Sheet1!D:D,[1]Sheet1!A:A,A410,[1]Sheet1!E:E,"Materia Prima")</f>
        <v>0</v>
      </c>
      <c r="G410" s="2">
        <f t="shared" si="24"/>
        <v>2.671875</v>
      </c>
      <c r="H410">
        <f t="shared" si="25"/>
        <v>1</v>
      </c>
      <c r="I410" s="2">
        <f t="shared" si="26"/>
        <v>0</v>
      </c>
      <c r="J410" s="2">
        <f t="shared" si="27"/>
        <v>2.671875</v>
      </c>
    </row>
    <row r="411" spans="1:10" x14ac:dyDescent="0.3">
      <c r="A411">
        <v>1000017389</v>
      </c>
      <c r="B411" s="1">
        <f>VLOOKUP(A411,[1]Sheet1!A:B,2,FALSE)</f>
        <v>40564</v>
      </c>
      <c r="C411" s="2">
        <v>0</v>
      </c>
      <c r="D411" s="2">
        <f>SUMIFS([1]Sheet1!D:D,[1]Sheet1!A:A,A411,[1]Sheet1!E:E,"Figurado")</f>
        <v>0</v>
      </c>
      <c r="E411" s="2">
        <f>SUMIFS([1]Sheet1!D:D,[1]Sheet1!A:A,A411,[1]Sheet1!E:E,"Mallas")</f>
        <v>2873.75</v>
      </c>
      <c r="F411" s="2">
        <f>SUMIFS([1]Sheet1!D:D,[1]Sheet1!A:A,A411,[1]Sheet1!E:E,"Materia Prima")</f>
        <v>0</v>
      </c>
      <c r="G411" s="2">
        <f t="shared" si="24"/>
        <v>3.5921875000000001</v>
      </c>
      <c r="H411">
        <f t="shared" si="25"/>
        <v>1</v>
      </c>
      <c r="I411" s="2">
        <f t="shared" si="26"/>
        <v>0</v>
      </c>
      <c r="J411" s="2">
        <f t="shared" si="27"/>
        <v>3.5921875000000001</v>
      </c>
    </row>
    <row r="412" spans="1:10" x14ac:dyDescent="0.3">
      <c r="A412">
        <v>1000017392</v>
      </c>
      <c r="B412" s="1">
        <f>VLOOKUP(A412,[1]Sheet1!A:B,2,FALSE)</f>
        <v>40564</v>
      </c>
      <c r="C412" s="2">
        <v>0</v>
      </c>
      <c r="D412" s="2">
        <f>SUMIFS([1]Sheet1!D:D,[1]Sheet1!A:A,A412,[1]Sheet1!E:E,"Figurado")</f>
        <v>6344.8</v>
      </c>
      <c r="E412" s="2">
        <f>SUMIFS([1]Sheet1!D:D,[1]Sheet1!A:A,A412,[1]Sheet1!E:E,"Mallas")</f>
        <v>0</v>
      </c>
      <c r="F412" s="2">
        <f>SUMIFS([1]Sheet1!D:D,[1]Sheet1!A:A,A412,[1]Sheet1!E:E,"Materia Prima")</f>
        <v>0</v>
      </c>
      <c r="G412" s="2">
        <f t="shared" si="24"/>
        <v>2.4403076923076923</v>
      </c>
      <c r="H412">
        <f t="shared" si="25"/>
        <v>1</v>
      </c>
      <c r="I412" s="2">
        <f t="shared" si="26"/>
        <v>2.4403076923076923</v>
      </c>
      <c r="J412" s="2">
        <f t="shared" si="27"/>
        <v>0</v>
      </c>
    </row>
    <row r="413" spans="1:10" x14ac:dyDescent="0.3">
      <c r="A413">
        <v>1000017396</v>
      </c>
      <c r="B413" s="1">
        <f>VLOOKUP(A413,[1]Sheet1!A:B,2,FALSE)</f>
        <v>40564</v>
      </c>
      <c r="C413" s="2">
        <v>0</v>
      </c>
      <c r="D413" s="2">
        <f>SUMIFS([1]Sheet1!D:D,[1]Sheet1!A:A,A413,[1]Sheet1!E:E,"Figurado")</f>
        <v>11170.3</v>
      </c>
      <c r="E413" s="2">
        <f>SUMIFS([1]Sheet1!D:D,[1]Sheet1!A:A,A413,[1]Sheet1!E:E,"Mallas")</f>
        <v>0</v>
      </c>
      <c r="F413" s="2">
        <f>SUMIFS([1]Sheet1!D:D,[1]Sheet1!A:A,A413,[1]Sheet1!E:E,"Materia Prima")</f>
        <v>687.8</v>
      </c>
      <c r="G413" s="2">
        <f t="shared" si="24"/>
        <v>4.2962692307692301</v>
      </c>
      <c r="H413">
        <f t="shared" si="25"/>
        <v>2</v>
      </c>
      <c r="I413" s="2">
        <f t="shared" si="26"/>
        <v>4.2962692307692301</v>
      </c>
      <c r="J413" s="2">
        <f t="shared" si="27"/>
        <v>0</v>
      </c>
    </row>
    <row r="414" spans="1:10" x14ac:dyDescent="0.3">
      <c r="A414">
        <v>1000017397</v>
      </c>
      <c r="B414" s="1">
        <f>VLOOKUP(A414,[1]Sheet1!A:B,2,FALSE)</f>
        <v>40564</v>
      </c>
      <c r="C414" s="2">
        <v>0</v>
      </c>
      <c r="D414" s="2">
        <f>SUMIFS([1]Sheet1!D:D,[1]Sheet1!A:A,A414,[1]Sheet1!E:E,"Figurado")</f>
        <v>1238.4000000000001</v>
      </c>
      <c r="E414" s="2">
        <f>SUMIFS([1]Sheet1!D:D,[1]Sheet1!A:A,A414,[1]Sheet1!E:E,"Mallas")</f>
        <v>0</v>
      </c>
      <c r="F414" s="2">
        <f>SUMIFS([1]Sheet1!D:D,[1]Sheet1!A:A,A414,[1]Sheet1!E:E,"Materia Prima")</f>
        <v>0</v>
      </c>
      <c r="G414" s="2">
        <f t="shared" si="24"/>
        <v>0.47630769230769232</v>
      </c>
      <c r="H414">
        <f t="shared" si="25"/>
        <v>1</v>
      </c>
      <c r="I414" s="2">
        <f t="shared" si="26"/>
        <v>0.47630769230769232</v>
      </c>
      <c r="J414" s="2">
        <f t="shared" si="27"/>
        <v>0</v>
      </c>
    </row>
    <row r="415" spans="1:10" x14ac:dyDescent="0.3">
      <c r="A415">
        <v>1000017398</v>
      </c>
      <c r="B415" s="1">
        <f>VLOOKUP(A415,[1]Sheet1!A:B,2,FALSE)</f>
        <v>40564</v>
      </c>
      <c r="C415" s="2">
        <v>0</v>
      </c>
      <c r="D415" s="2">
        <f>SUMIFS([1]Sheet1!D:D,[1]Sheet1!A:A,A415,[1]Sheet1!E:E,"Figurado")</f>
        <v>204</v>
      </c>
      <c r="E415" s="2">
        <f>SUMIFS([1]Sheet1!D:D,[1]Sheet1!A:A,A415,[1]Sheet1!E:E,"Mallas")</f>
        <v>0</v>
      </c>
      <c r="F415" s="2">
        <f>SUMIFS([1]Sheet1!D:D,[1]Sheet1!A:A,A415,[1]Sheet1!E:E,"Materia Prima")</f>
        <v>0</v>
      </c>
      <c r="G415" s="2">
        <f t="shared" si="24"/>
        <v>7.8461538461538458E-2</v>
      </c>
      <c r="H415">
        <f t="shared" si="25"/>
        <v>1</v>
      </c>
      <c r="I415" s="2">
        <f t="shared" si="26"/>
        <v>7.8461538461538458E-2</v>
      </c>
      <c r="J415" s="2">
        <f t="shared" si="27"/>
        <v>0</v>
      </c>
    </row>
    <row r="416" spans="1:10" x14ac:dyDescent="0.3">
      <c r="A416">
        <v>1000017399</v>
      </c>
      <c r="B416" s="1">
        <f>VLOOKUP(A416,[1]Sheet1!A:B,2,FALSE)</f>
        <v>40564</v>
      </c>
      <c r="C416" s="2">
        <v>0</v>
      </c>
      <c r="D416" s="2">
        <f>SUMIFS([1]Sheet1!D:D,[1]Sheet1!A:A,A416,[1]Sheet1!E:E,"Figurado")</f>
        <v>1427.6</v>
      </c>
      <c r="E416" s="2">
        <f>SUMIFS([1]Sheet1!D:D,[1]Sheet1!A:A,A416,[1]Sheet1!E:E,"Mallas")</f>
        <v>0</v>
      </c>
      <c r="F416" s="2">
        <f>SUMIFS([1]Sheet1!D:D,[1]Sheet1!A:A,A416,[1]Sheet1!E:E,"Materia Prima")</f>
        <v>0</v>
      </c>
      <c r="G416" s="2">
        <f t="shared" si="24"/>
        <v>0.54907692307692302</v>
      </c>
      <c r="H416">
        <f t="shared" si="25"/>
        <v>1</v>
      </c>
      <c r="I416" s="2">
        <f t="shared" si="26"/>
        <v>0.54907692307692302</v>
      </c>
      <c r="J416" s="2">
        <f t="shared" si="27"/>
        <v>0</v>
      </c>
    </row>
    <row r="417" spans="1:10" x14ac:dyDescent="0.3">
      <c r="A417">
        <v>1000017400</v>
      </c>
      <c r="B417" s="1">
        <f>VLOOKUP(A417,[1]Sheet1!A:B,2,FALSE)</f>
        <v>40564</v>
      </c>
      <c r="C417" s="2">
        <v>0</v>
      </c>
      <c r="D417" s="2">
        <f>SUMIFS([1]Sheet1!D:D,[1]Sheet1!A:A,A417,[1]Sheet1!E:E,"Figurado")</f>
        <v>52.6</v>
      </c>
      <c r="E417" s="2">
        <f>SUMIFS([1]Sheet1!D:D,[1]Sheet1!A:A,A417,[1]Sheet1!E:E,"Mallas")</f>
        <v>0</v>
      </c>
      <c r="F417" s="2">
        <f>SUMIFS([1]Sheet1!D:D,[1]Sheet1!A:A,A417,[1]Sheet1!E:E,"Materia Prima")</f>
        <v>0</v>
      </c>
      <c r="G417" s="2">
        <f t="shared" si="24"/>
        <v>2.0230769230769233E-2</v>
      </c>
      <c r="H417">
        <f t="shared" si="25"/>
        <v>1</v>
      </c>
      <c r="I417" s="2">
        <f t="shared" si="26"/>
        <v>2.0230769230769233E-2</v>
      </c>
      <c r="J417" s="2">
        <f t="shared" si="27"/>
        <v>0</v>
      </c>
    </row>
    <row r="418" spans="1:10" x14ac:dyDescent="0.3">
      <c r="A418">
        <v>1000017402</v>
      </c>
      <c r="B418" s="1">
        <f>VLOOKUP(A418,[1]Sheet1!A:B,2,FALSE)</f>
        <v>40564</v>
      </c>
      <c r="C418" s="2">
        <v>0</v>
      </c>
      <c r="D418" s="2">
        <f>SUMIFS([1]Sheet1!D:D,[1]Sheet1!A:A,A418,[1]Sheet1!E:E,"Figurado")</f>
        <v>2540.9</v>
      </c>
      <c r="E418" s="2">
        <f>SUMIFS([1]Sheet1!D:D,[1]Sheet1!A:A,A418,[1]Sheet1!E:E,"Mallas")</f>
        <v>0</v>
      </c>
      <c r="F418" s="2">
        <f>SUMIFS([1]Sheet1!D:D,[1]Sheet1!A:A,A418,[1]Sheet1!E:E,"Materia Prima")</f>
        <v>0</v>
      </c>
      <c r="G418" s="2">
        <f t="shared" si="24"/>
        <v>0.97726923076923078</v>
      </c>
      <c r="H418">
        <f t="shared" si="25"/>
        <v>1</v>
      </c>
      <c r="I418" s="2">
        <f t="shared" si="26"/>
        <v>0.97726923076923078</v>
      </c>
      <c r="J418" s="2">
        <f t="shared" si="27"/>
        <v>0</v>
      </c>
    </row>
    <row r="419" spans="1:10" x14ac:dyDescent="0.3">
      <c r="A419">
        <v>1000017403</v>
      </c>
      <c r="B419" s="1">
        <f>VLOOKUP(A419,[1]Sheet1!A:B,2,FALSE)</f>
        <v>40564</v>
      </c>
      <c r="C419" s="2">
        <v>0</v>
      </c>
      <c r="D419" s="2">
        <f>SUMIFS([1]Sheet1!D:D,[1]Sheet1!A:A,A419,[1]Sheet1!E:E,"Figurado")</f>
        <v>2042</v>
      </c>
      <c r="E419" s="2">
        <f>SUMIFS([1]Sheet1!D:D,[1]Sheet1!A:A,A419,[1]Sheet1!E:E,"Mallas")</f>
        <v>0</v>
      </c>
      <c r="F419" s="2">
        <f>SUMIFS([1]Sheet1!D:D,[1]Sheet1!A:A,A419,[1]Sheet1!E:E,"Materia Prima")</f>
        <v>0</v>
      </c>
      <c r="G419" s="2">
        <f t="shared" si="24"/>
        <v>0.78538461538461535</v>
      </c>
      <c r="H419">
        <f t="shared" si="25"/>
        <v>1</v>
      </c>
      <c r="I419" s="2">
        <f t="shared" si="26"/>
        <v>0.78538461538461535</v>
      </c>
      <c r="J419" s="2">
        <f t="shared" si="27"/>
        <v>0</v>
      </c>
    </row>
    <row r="420" spans="1:10" x14ac:dyDescent="0.3">
      <c r="A420">
        <v>1000017410</v>
      </c>
      <c r="B420" s="1">
        <f>VLOOKUP(A420,[1]Sheet1!A:B,2,FALSE)</f>
        <v>40564</v>
      </c>
      <c r="C420" s="2">
        <v>0</v>
      </c>
      <c r="D420" s="2">
        <f>SUMIFS([1]Sheet1!D:D,[1]Sheet1!A:A,A420,[1]Sheet1!E:E,"Figurado")</f>
        <v>0</v>
      </c>
      <c r="E420" s="2">
        <f>SUMIFS([1]Sheet1!D:D,[1]Sheet1!A:A,A420,[1]Sheet1!E:E,"Mallas")</f>
        <v>0</v>
      </c>
      <c r="F420" s="2">
        <f>SUMIFS([1]Sheet1!D:D,[1]Sheet1!A:A,A420,[1]Sheet1!E:E,"Materia Prima")</f>
        <v>11588</v>
      </c>
      <c r="G420" s="2">
        <f t="shared" si="24"/>
        <v>0</v>
      </c>
      <c r="H420">
        <f t="shared" si="25"/>
        <v>1</v>
      </c>
      <c r="I420" s="2">
        <f t="shared" si="26"/>
        <v>0</v>
      </c>
      <c r="J420" s="2">
        <f t="shared" si="27"/>
        <v>0</v>
      </c>
    </row>
    <row r="421" spans="1:10" x14ac:dyDescent="0.3">
      <c r="A421">
        <v>1000017411</v>
      </c>
      <c r="B421" s="1">
        <f>VLOOKUP(A421,[1]Sheet1!A:B,2,FALSE)</f>
        <v>40564</v>
      </c>
      <c r="C421" s="2">
        <v>0</v>
      </c>
      <c r="D421" s="2">
        <f>SUMIFS([1]Sheet1!D:D,[1]Sheet1!A:A,A421,[1]Sheet1!E:E,"Figurado")</f>
        <v>0</v>
      </c>
      <c r="E421" s="2">
        <f>SUMIFS([1]Sheet1!D:D,[1]Sheet1!A:A,A421,[1]Sheet1!E:E,"Mallas")</f>
        <v>0</v>
      </c>
      <c r="F421" s="2">
        <f>SUMIFS([1]Sheet1!D:D,[1]Sheet1!A:A,A421,[1]Sheet1!E:E,"Materia Prima")</f>
        <v>2789.3</v>
      </c>
      <c r="G421" s="2">
        <f t="shared" si="24"/>
        <v>0</v>
      </c>
      <c r="H421">
        <f t="shared" si="25"/>
        <v>1</v>
      </c>
      <c r="I421" s="2">
        <f t="shared" si="26"/>
        <v>0</v>
      </c>
      <c r="J421" s="2">
        <f t="shared" si="27"/>
        <v>0</v>
      </c>
    </row>
    <row r="422" spans="1:10" x14ac:dyDescent="0.3">
      <c r="A422">
        <v>1000017412</v>
      </c>
      <c r="B422" s="1">
        <f>VLOOKUP(A422,[1]Sheet1!A:B,2,FALSE)</f>
        <v>40564</v>
      </c>
      <c r="C422" s="2">
        <v>0</v>
      </c>
      <c r="D422" s="2">
        <f>SUMIFS([1]Sheet1!D:D,[1]Sheet1!A:A,A422,[1]Sheet1!E:E,"Figurado")</f>
        <v>0</v>
      </c>
      <c r="E422" s="2">
        <f>SUMIFS([1]Sheet1!D:D,[1]Sheet1!A:A,A422,[1]Sheet1!E:E,"Mallas")</f>
        <v>0</v>
      </c>
      <c r="F422" s="2">
        <f>SUMIFS([1]Sheet1!D:D,[1]Sheet1!A:A,A422,[1]Sheet1!E:E,"Materia Prima")</f>
        <v>936</v>
      </c>
      <c r="G422" s="2">
        <f t="shared" si="24"/>
        <v>0</v>
      </c>
      <c r="H422">
        <f t="shared" si="25"/>
        <v>1</v>
      </c>
      <c r="I422" s="2">
        <f t="shared" si="26"/>
        <v>0</v>
      </c>
      <c r="J422" s="2">
        <f t="shared" si="27"/>
        <v>0</v>
      </c>
    </row>
    <row r="423" spans="1:10" x14ac:dyDescent="0.3">
      <c r="A423">
        <v>1000017413</v>
      </c>
      <c r="B423" s="1">
        <f>VLOOKUP(A423,[1]Sheet1!A:B,2,FALSE)</f>
        <v>40564</v>
      </c>
      <c r="C423" s="2">
        <v>0</v>
      </c>
      <c r="D423" s="2">
        <f>SUMIFS([1]Sheet1!D:D,[1]Sheet1!A:A,A423,[1]Sheet1!E:E,"Figurado")</f>
        <v>0</v>
      </c>
      <c r="E423" s="2">
        <f>SUMIFS([1]Sheet1!D:D,[1]Sheet1!A:A,A423,[1]Sheet1!E:E,"Mallas")</f>
        <v>0</v>
      </c>
      <c r="F423" s="2">
        <f>SUMIFS([1]Sheet1!D:D,[1]Sheet1!A:A,A423,[1]Sheet1!E:E,"Materia Prima")</f>
        <v>355.7</v>
      </c>
      <c r="G423" s="2">
        <f t="shared" si="24"/>
        <v>0</v>
      </c>
      <c r="H423">
        <f t="shared" si="25"/>
        <v>1</v>
      </c>
      <c r="I423" s="2">
        <f t="shared" si="26"/>
        <v>0</v>
      </c>
      <c r="J423" s="2">
        <f t="shared" si="27"/>
        <v>0</v>
      </c>
    </row>
    <row r="424" spans="1:10" x14ac:dyDescent="0.3">
      <c r="A424">
        <v>1000017414</v>
      </c>
      <c r="B424" s="1">
        <f>VLOOKUP(A424,[1]Sheet1!A:B,2,FALSE)</f>
        <v>40564</v>
      </c>
      <c r="C424" s="2">
        <v>0</v>
      </c>
      <c r="D424" s="2">
        <f>SUMIFS([1]Sheet1!D:D,[1]Sheet1!A:A,A424,[1]Sheet1!E:E,"Figurado")</f>
        <v>0</v>
      </c>
      <c r="E424" s="2">
        <f>SUMIFS([1]Sheet1!D:D,[1]Sheet1!A:A,A424,[1]Sheet1!E:E,"Mallas")</f>
        <v>0</v>
      </c>
      <c r="F424" s="2">
        <f>SUMIFS([1]Sheet1!D:D,[1]Sheet1!A:A,A424,[1]Sheet1!E:E,"Materia Prima")</f>
        <v>2808</v>
      </c>
      <c r="G424" s="2">
        <f t="shared" si="24"/>
        <v>0</v>
      </c>
      <c r="H424">
        <f t="shared" si="25"/>
        <v>1</v>
      </c>
      <c r="I424" s="2">
        <f t="shared" si="26"/>
        <v>0</v>
      </c>
      <c r="J424" s="2">
        <f t="shared" si="27"/>
        <v>0</v>
      </c>
    </row>
    <row r="425" spans="1:10" x14ac:dyDescent="0.3">
      <c r="A425">
        <v>1000017415</v>
      </c>
      <c r="B425" s="1">
        <f>VLOOKUP(A425,[1]Sheet1!A:B,2,FALSE)</f>
        <v>40564</v>
      </c>
      <c r="C425" s="2">
        <v>0</v>
      </c>
      <c r="D425" s="2">
        <f>SUMIFS([1]Sheet1!D:D,[1]Sheet1!A:A,A425,[1]Sheet1!E:E,"Figurado")</f>
        <v>0</v>
      </c>
      <c r="E425" s="2">
        <f>SUMIFS([1]Sheet1!D:D,[1]Sheet1!A:A,A425,[1]Sheet1!E:E,"Mallas")</f>
        <v>0</v>
      </c>
      <c r="F425" s="2">
        <f>SUMIFS([1]Sheet1!D:D,[1]Sheet1!A:A,A425,[1]Sheet1!E:E,"Materia Prima")</f>
        <v>3744</v>
      </c>
      <c r="G425" s="2">
        <f t="shared" si="24"/>
        <v>0</v>
      </c>
      <c r="H425">
        <f t="shared" si="25"/>
        <v>1</v>
      </c>
      <c r="I425" s="2">
        <f t="shared" si="26"/>
        <v>0</v>
      </c>
      <c r="J425" s="2">
        <f t="shared" si="27"/>
        <v>0</v>
      </c>
    </row>
    <row r="426" spans="1:10" x14ac:dyDescent="0.3">
      <c r="A426">
        <v>1000017416</v>
      </c>
      <c r="B426" s="1">
        <f>VLOOKUP(A426,[1]Sheet1!A:B,2,FALSE)</f>
        <v>40564</v>
      </c>
      <c r="C426" s="2">
        <v>0</v>
      </c>
      <c r="D426" s="2">
        <f>SUMIFS([1]Sheet1!D:D,[1]Sheet1!A:A,A426,[1]Sheet1!E:E,"Figurado")</f>
        <v>1315.6</v>
      </c>
      <c r="E426" s="2">
        <f>SUMIFS([1]Sheet1!D:D,[1]Sheet1!A:A,A426,[1]Sheet1!E:E,"Mallas")</f>
        <v>0</v>
      </c>
      <c r="F426" s="2">
        <f>SUMIFS([1]Sheet1!D:D,[1]Sheet1!A:A,A426,[1]Sheet1!E:E,"Materia Prima")</f>
        <v>0</v>
      </c>
      <c r="G426" s="2">
        <f t="shared" si="24"/>
        <v>0.50600000000000001</v>
      </c>
      <c r="H426">
        <f t="shared" si="25"/>
        <v>1</v>
      </c>
      <c r="I426" s="2">
        <f t="shared" si="26"/>
        <v>0.50600000000000001</v>
      </c>
      <c r="J426" s="2">
        <f t="shared" si="27"/>
        <v>0</v>
      </c>
    </row>
    <row r="427" spans="1:10" x14ac:dyDescent="0.3">
      <c r="A427">
        <v>1000017417</v>
      </c>
      <c r="B427" s="1">
        <f>VLOOKUP(A427,[1]Sheet1!A:B,2,FALSE)</f>
        <v>40564</v>
      </c>
      <c r="C427" s="2">
        <v>0</v>
      </c>
      <c r="D427" s="2">
        <f>SUMIFS([1]Sheet1!D:D,[1]Sheet1!A:A,A427,[1]Sheet1!E:E,"Figurado")</f>
        <v>344.4</v>
      </c>
      <c r="E427" s="2">
        <f>SUMIFS([1]Sheet1!D:D,[1]Sheet1!A:A,A427,[1]Sheet1!E:E,"Mallas")</f>
        <v>0</v>
      </c>
      <c r="F427" s="2">
        <f>SUMIFS([1]Sheet1!D:D,[1]Sheet1!A:A,A427,[1]Sheet1!E:E,"Materia Prima")</f>
        <v>0</v>
      </c>
      <c r="G427" s="2">
        <f t="shared" si="24"/>
        <v>0.13246153846153846</v>
      </c>
      <c r="H427">
        <f t="shared" si="25"/>
        <v>1</v>
      </c>
      <c r="I427" s="2">
        <f t="shared" si="26"/>
        <v>0.13246153846153846</v>
      </c>
      <c r="J427" s="2">
        <f t="shared" si="27"/>
        <v>0</v>
      </c>
    </row>
    <row r="428" spans="1:10" x14ac:dyDescent="0.3">
      <c r="A428">
        <v>1000017418</v>
      </c>
      <c r="B428" s="1">
        <f>VLOOKUP(A428,[1]Sheet1!A:B,2,FALSE)</f>
        <v>40564</v>
      </c>
      <c r="C428" s="2">
        <v>0</v>
      </c>
      <c r="D428" s="2">
        <f>SUMIFS([1]Sheet1!D:D,[1]Sheet1!A:A,A428,[1]Sheet1!E:E,"Figurado")</f>
        <v>236.3</v>
      </c>
      <c r="E428" s="2">
        <f>SUMIFS([1]Sheet1!D:D,[1]Sheet1!A:A,A428,[1]Sheet1!E:E,"Mallas")</f>
        <v>0</v>
      </c>
      <c r="F428" s="2">
        <f>SUMIFS([1]Sheet1!D:D,[1]Sheet1!A:A,A428,[1]Sheet1!E:E,"Materia Prima")</f>
        <v>0</v>
      </c>
      <c r="G428" s="2">
        <f t="shared" si="24"/>
        <v>9.0884615384615383E-2</v>
      </c>
      <c r="H428">
        <f t="shared" si="25"/>
        <v>1</v>
      </c>
      <c r="I428" s="2">
        <f t="shared" si="26"/>
        <v>9.0884615384615383E-2</v>
      </c>
      <c r="J428" s="2">
        <f t="shared" si="27"/>
        <v>0</v>
      </c>
    </row>
    <row r="429" spans="1:10" x14ac:dyDescent="0.3">
      <c r="A429">
        <v>1000017419</v>
      </c>
      <c r="B429" s="1">
        <f>VLOOKUP(A429,[1]Sheet1!A:B,2,FALSE)</f>
        <v>40564</v>
      </c>
      <c r="C429" s="2">
        <v>0</v>
      </c>
      <c r="D429" s="2">
        <f>SUMIFS([1]Sheet1!D:D,[1]Sheet1!A:A,A429,[1]Sheet1!E:E,"Figurado")</f>
        <v>282</v>
      </c>
      <c r="E429" s="2">
        <f>SUMIFS([1]Sheet1!D:D,[1]Sheet1!A:A,A429,[1]Sheet1!E:E,"Mallas")</f>
        <v>0</v>
      </c>
      <c r="F429" s="2">
        <f>SUMIFS([1]Sheet1!D:D,[1]Sheet1!A:A,A429,[1]Sheet1!E:E,"Materia Prima")</f>
        <v>0</v>
      </c>
      <c r="G429" s="2">
        <f t="shared" si="24"/>
        <v>0.10846153846153846</v>
      </c>
      <c r="H429">
        <f t="shared" si="25"/>
        <v>1</v>
      </c>
      <c r="I429" s="2">
        <f t="shared" si="26"/>
        <v>0.10846153846153846</v>
      </c>
      <c r="J429" s="2">
        <f t="shared" si="27"/>
        <v>0</v>
      </c>
    </row>
    <row r="430" spans="1:10" x14ac:dyDescent="0.3">
      <c r="A430">
        <v>1000017420</v>
      </c>
      <c r="B430" s="1">
        <f>VLOOKUP(A430,[1]Sheet1!A:B,2,FALSE)</f>
        <v>40564</v>
      </c>
      <c r="C430" s="2">
        <v>0</v>
      </c>
      <c r="D430" s="2">
        <f>SUMIFS([1]Sheet1!D:D,[1]Sheet1!A:A,A430,[1]Sheet1!E:E,"Figurado")</f>
        <v>8539.4</v>
      </c>
      <c r="E430" s="2">
        <f>SUMIFS([1]Sheet1!D:D,[1]Sheet1!A:A,A430,[1]Sheet1!E:E,"Mallas")</f>
        <v>0</v>
      </c>
      <c r="F430" s="2">
        <f>SUMIFS([1]Sheet1!D:D,[1]Sheet1!A:A,A430,[1]Sheet1!E:E,"Materia Prima")</f>
        <v>0</v>
      </c>
      <c r="G430" s="2">
        <f t="shared" si="24"/>
        <v>3.2843846153846155</v>
      </c>
      <c r="H430">
        <f t="shared" si="25"/>
        <v>1</v>
      </c>
      <c r="I430" s="2">
        <f t="shared" si="26"/>
        <v>3.2843846153846155</v>
      </c>
      <c r="J430" s="2">
        <f t="shared" si="27"/>
        <v>0</v>
      </c>
    </row>
    <row r="431" spans="1:10" x14ac:dyDescent="0.3">
      <c r="A431">
        <v>1000017421</v>
      </c>
      <c r="B431" s="1">
        <f>VLOOKUP(A431,[1]Sheet1!A:B,2,FALSE)</f>
        <v>40565</v>
      </c>
      <c r="C431" s="2">
        <v>0</v>
      </c>
      <c r="D431" s="2">
        <f>SUMIFS([1]Sheet1!D:D,[1]Sheet1!A:A,A431,[1]Sheet1!E:E,"Figurado")</f>
        <v>2380.8000000000002</v>
      </c>
      <c r="E431" s="2">
        <f>SUMIFS([1]Sheet1!D:D,[1]Sheet1!A:A,A431,[1]Sheet1!E:E,"Mallas")</f>
        <v>0</v>
      </c>
      <c r="F431" s="2">
        <f>SUMIFS([1]Sheet1!D:D,[1]Sheet1!A:A,A431,[1]Sheet1!E:E,"Materia Prima")</f>
        <v>1788</v>
      </c>
      <c r="G431" s="2">
        <f t="shared" si="24"/>
        <v>0.91569230769230781</v>
      </c>
      <c r="H431">
        <f t="shared" si="25"/>
        <v>2</v>
      </c>
      <c r="I431" s="2">
        <f t="shared" si="26"/>
        <v>0.91569230769230781</v>
      </c>
      <c r="J431" s="2">
        <f t="shared" si="27"/>
        <v>0</v>
      </c>
    </row>
    <row r="432" spans="1:10" x14ac:dyDescent="0.3">
      <c r="A432">
        <v>1000017422</v>
      </c>
      <c r="B432" s="1">
        <f>VLOOKUP(A432,[1]Sheet1!A:B,2,FALSE)</f>
        <v>40565</v>
      </c>
      <c r="C432" s="2">
        <v>0</v>
      </c>
      <c r="D432" s="2">
        <f>SUMIFS([1]Sheet1!D:D,[1]Sheet1!A:A,A432,[1]Sheet1!E:E,"Figurado")</f>
        <v>5606.4</v>
      </c>
      <c r="E432" s="2">
        <f>SUMIFS([1]Sheet1!D:D,[1]Sheet1!A:A,A432,[1]Sheet1!E:E,"Mallas")</f>
        <v>0</v>
      </c>
      <c r="F432" s="2">
        <f>SUMIFS([1]Sheet1!D:D,[1]Sheet1!A:A,A432,[1]Sheet1!E:E,"Materia Prima")</f>
        <v>0</v>
      </c>
      <c r="G432" s="2">
        <f t="shared" si="24"/>
        <v>2.156307692307692</v>
      </c>
      <c r="H432">
        <f t="shared" si="25"/>
        <v>1</v>
      </c>
      <c r="I432" s="2">
        <f t="shared" si="26"/>
        <v>2.156307692307692</v>
      </c>
      <c r="J432" s="2">
        <f t="shared" si="27"/>
        <v>0</v>
      </c>
    </row>
    <row r="433" spans="1:10" x14ac:dyDescent="0.3">
      <c r="A433">
        <v>1000017423</v>
      </c>
      <c r="B433" s="1">
        <f>VLOOKUP(A433,[1]Sheet1!A:B,2,FALSE)</f>
        <v>40565</v>
      </c>
      <c r="C433" s="2">
        <v>0</v>
      </c>
      <c r="D433" s="2">
        <f>SUMIFS([1]Sheet1!D:D,[1]Sheet1!A:A,A433,[1]Sheet1!E:E,"Figurado")</f>
        <v>6131.2</v>
      </c>
      <c r="E433" s="2">
        <f>SUMIFS([1]Sheet1!D:D,[1]Sheet1!A:A,A433,[1]Sheet1!E:E,"Mallas")</f>
        <v>0</v>
      </c>
      <c r="F433" s="2">
        <f>SUMIFS([1]Sheet1!D:D,[1]Sheet1!A:A,A433,[1]Sheet1!E:E,"Materia Prima")</f>
        <v>257</v>
      </c>
      <c r="G433" s="2">
        <f t="shared" si="24"/>
        <v>2.3581538461538463</v>
      </c>
      <c r="H433">
        <f t="shared" si="25"/>
        <v>2</v>
      </c>
      <c r="I433" s="2">
        <f t="shared" si="26"/>
        <v>2.3581538461538463</v>
      </c>
      <c r="J433" s="2">
        <f t="shared" si="27"/>
        <v>0</v>
      </c>
    </row>
    <row r="434" spans="1:10" x14ac:dyDescent="0.3">
      <c r="A434">
        <v>1000017429</v>
      </c>
      <c r="B434" s="1">
        <f>VLOOKUP(A434,[1]Sheet1!A:B,2,FALSE)</f>
        <v>40565</v>
      </c>
      <c r="C434" s="2">
        <v>0</v>
      </c>
      <c r="D434" s="2">
        <f>SUMIFS([1]Sheet1!D:D,[1]Sheet1!A:A,A434,[1]Sheet1!E:E,"Figurado")</f>
        <v>0</v>
      </c>
      <c r="E434" s="2">
        <f>SUMIFS([1]Sheet1!D:D,[1]Sheet1!A:A,A434,[1]Sheet1!E:E,"Mallas")</f>
        <v>865.26</v>
      </c>
      <c r="F434" s="2">
        <f>SUMIFS([1]Sheet1!D:D,[1]Sheet1!A:A,A434,[1]Sheet1!E:E,"Materia Prima")</f>
        <v>0</v>
      </c>
      <c r="G434" s="2">
        <f t="shared" si="24"/>
        <v>1.081575</v>
      </c>
      <c r="H434">
        <f t="shared" si="25"/>
        <v>1</v>
      </c>
      <c r="I434" s="2">
        <f t="shared" si="26"/>
        <v>0</v>
      </c>
      <c r="J434" s="2">
        <f t="shared" si="27"/>
        <v>1.081575</v>
      </c>
    </row>
    <row r="435" spans="1:10" x14ac:dyDescent="0.3">
      <c r="A435">
        <v>1000017430</v>
      </c>
      <c r="B435" s="1">
        <f>VLOOKUP(A435,[1]Sheet1!A:B,2,FALSE)</f>
        <v>40565</v>
      </c>
      <c r="C435" s="2">
        <v>0</v>
      </c>
      <c r="D435" s="2">
        <f>SUMIFS([1]Sheet1!D:D,[1]Sheet1!A:A,A435,[1]Sheet1!E:E,"Figurado")</f>
        <v>0</v>
      </c>
      <c r="E435" s="2">
        <f>SUMIFS([1]Sheet1!D:D,[1]Sheet1!A:A,A435,[1]Sheet1!E:E,"Mallas")</f>
        <v>1053.3599999999999</v>
      </c>
      <c r="F435" s="2">
        <f>SUMIFS([1]Sheet1!D:D,[1]Sheet1!A:A,A435,[1]Sheet1!E:E,"Materia Prima")</f>
        <v>0</v>
      </c>
      <c r="G435" s="2">
        <f t="shared" si="24"/>
        <v>1.3167</v>
      </c>
      <c r="H435">
        <f t="shared" si="25"/>
        <v>1</v>
      </c>
      <c r="I435" s="2">
        <f t="shared" si="26"/>
        <v>0</v>
      </c>
      <c r="J435" s="2">
        <f t="shared" si="27"/>
        <v>1.3167</v>
      </c>
    </row>
    <row r="436" spans="1:10" x14ac:dyDescent="0.3">
      <c r="A436">
        <v>1000017431</v>
      </c>
      <c r="B436" s="1">
        <f>VLOOKUP(A436,[1]Sheet1!A:B,2,FALSE)</f>
        <v>40565</v>
      </c>
      <c r="C436" s="2">
        <v>0</v>
      </c>
      <c r="D436" s="2">
        <f>SUMIFS([1]Sheet1!D:D,[1]Sheet1!A:A,A436,[1]Sheet1!E:E,"Figurado")</f>
        <v>0</v>
      </c>
      <c r="E436" s="2">
        <f>SUMIFS([1]Sheet1!D:D,[1]Sheet1!A:A,A436,[1]Sheet1!E:E,"Mallas")</f>
        <v>1053.3599999999999</v>
      </c>
      <c r="F436" s="2">
        <f>SUMIFS([1]Sheet1!D:D,[1]Sheet1!A:A,A436,[1]Sheet1!E:E,"Materia Prima")</f>
        <v>0</v>
      </c>
      <c r="G436" s="2">
        <f t="shared" si="24"/>
        <v>1.3167</v>
      </c>
      <c r="H436">
        <f t="shared" si="25"/>
        <v>1</v>
      </c>
      <c r="I436" s="2">
        <f t="shared" si="26"/>
        <v>0</v>
      </c>
      <c r="J436" s="2">
        <f t="shared" si="27"/>
        <v>1.3167</v>
      </c>
    </row>
    <row r="437" spans="1:10" x14ac:dyDescent="0.3">
      <c r="A437">
        <v>1000017432</v>
      </c>
      <c r="B437" s="1">
        <f>VLOOKUP(A437,[1]Sheet1!A:B,2,FALSE)</f>
        <v>40565</v>
      </c>
      <c r="C437" s="2">
        <v>0</v>
      </c>
      <c r="D437" s="2">
        <f>SUMIFS([1]Sheet1!D:D,[1]Sheet1!A:A,A437,[1]Sheet1!E:E,"Figurado")</f>
        <v>0</v>
      </c>
      <c r="E437" s="2">
        <f>SUMIFS([1]Sheet1!D:D,[1]Sheet1!A:A,A437,[1]Sheet1!E:E,"Mallas")</f>
        <v>2234.3999999999996</v>
      </c>
      <c r="F437" s="2">
        <f>SUMIFS([1]Sheet1!D:D,[1]Sheet1!A:A,A437,[1]Sheet1!E:E,"Materia Prima")</f>
        <v>0</v>
      </c>
      <c r="G437" s="2">
        <f t="shared" si="24"/>
        <v>2.7929999999999997</v>
      </c>
      <c r="H437">
        <f t="shared" si="25"/>
        <v>1</v>
      </c>
      <c r="I437" s="2">
        <f t="shared" si="26"/>
        <v>0</v>
      </c>
      <c r="J437" s="2">
        <f t="shared" si="27"/>
        <v>2.7929999999999997</v>
      </c>
    </row>
    <row r="438" spans="1:10" x14ac:dyDescent="0.3">
      <c r="A438">
        <v>1000017433</v>
      </c>
      <c r="B438" s="1">
        <f>VLOOKUP(A438,[1]Sheet1!A:B,2,FALSE)</f>
        <v>40565</v>
      </c>
      <c r="C438" s="2">
        <v>0</v>
      </c>
      <c r="D438" s="2">
        <f>SUMIFS([1]Sheet1!D:D,[1]Sheet1!A:A,A438,[1]Sheet1!E:E,"Figurado")</f>
        <v>0</v>
      </c>
      <c r="E438" s="2">
        <f>SUMIFS([1]Sheet1!D:D,[1]Sheet1!A:A,A438,[1]Sheet1!E:E,"Mallas")</f>
        <v>1085.76</v>
      </c>
      <c r="F438" s="2">
        <f>SUMIFS([1]Sheet1!D:D,[1]Sheet1!A:A,A438,[1]Sheet1!E:E,"Materia Prima")</f>
        <v>0</v>
      </c>
      <c r="G438" s="2">
        <f t="shared" si="24"/>
        <v>1.3572</v>
      </c>
      <c r="H438">
        <f t="shared" si="25"/>
        <v>1</v>
      </c>
      <c r="I438" s="2">
        <f t="shared" si="26"/>
        <v>0</v>
      </c>
      <c r="J438" s="2">
        <f t="shared" si="27"/>
        <v>1.3572</v>
      </c>
    </row>
    <row r="439" spans="1:10" x14ac:dyDescent="0.3">
      <c r="A439">
        <v>1000017434</v>
      </c>
      <c r="B439" s="1">
        <f>VLOOKUP(A439,[1]Sheet1!A:B,2,FALSE)</f>
        <v>40565</v>
      </c>
      <c r="C439" s="2">
        <v>0</v>
      </c>
      <c r="D439" s="2">
        <f>SUMIFS([1]Sheet1!D:D,[1]Sheet1!A:A,A439,[1]Sheet1!E:E,"Figurado")</f>
        <v>0</v>
      </c>
      <c r="E439" s="2">
        <f>SUMIFS([1]Sheet1!D:D,[1]Sheet1!A:A,A439,[1]Sheet1!E:E,"Mallas")</f>
        <v>0</v>
      </c>
      <c r="F439" s="2">
        <f>SUMIFS([1]Sheet1!D:D,[1]Sheet1!A:A,A439,[1]Sheet1!E:E,"Materia Prima")</f>
        <v>3024</v>
      </c>
      <c r="G439" s="2">
        <f t="shared" si="24"/>
        <v>0</v>
      </c>
      <c r="H439">
        <f t="shared" si="25"/>
        <v>1</v>
      </c>
      <c r="I439" s="2">
        <f t="shared" si="26"/>
        <v>0</v>
      </c>
      <c r="J439" s="2">
        <f t="shared" si="27"/>
        <v>0</v>
      </c>
    </row>
    <row r="440" spans="1:10" x14ac:dyDescent="0.3">
      <c r="A440">
        <v>1000017435</v>
      </c>
      <c r="B440" s="1">
        <f>VLOOKUP(A440,[1]Sheet1!A:B,2,FALSE)</f>
        <v>40565</v>
      </c>
      <c r="C440" s="2">
        <v>0</v>
      </c>
      <c r="D440" s="2">
        <f>SUMIFS([1]Sheet1!D:D,[1]Sheet1!A:A,A440,[1]Sheet1!E:E,"Figurado")</f>
        <v>5162.8999999999996</v>
      </c>
      <c r="E440" s="2">
        <f>SUMIFS([1]Sheet1!D:D,[1]Sheet1!A:A,A440,[1]Sheet1!E:E,"Mallas")</f>
        <v>0</v>
      </c>
      <c r="F440" s="2">
        <f>SUMIFS([1]Sheet1!D:D,[1]Sheet1!A:A,A440,[1]Sheet1!E:E,"Materia Prima")</f>
        <v>0</v>
      </c>
      <c r="G440" s="2">
        <f t="shared" si="24"/>
        <v>1.9857307692307691</v>
      </c>
      <c r="H440">
        <f t="shared" si="25"/>
        <v>1</v>
      </c>
      <c r="I440" s="2">
        <f t="shared" si="26"/>
        <v>1.9857307692307691</v>
      </c>
      <c r="J440" s="2">
        <f t="shared" si="27"/>
        <v>0</v>
      </c>
    </row>
    <row r="441" spans="1:10" x14ac:dyDescent="0.3">
      <c r="A441">
        <v>1000017436</v>
      </c>
      <c r="B441" s="1">
        <f>VLOOKUP(A441,[1]Sheet1!A:B,2,FALSE)</f>
        <v>40565</v>
      </c>
      <c r="C441" s="2">
        <v>0</v>
      </c>
      <c r="D441" s="2">
        <f>SUMIFS([1]Sheet1!D:D,[1]Sheet1!A:A,A441,[1]Sheet1!E:E,"Figurado")</f>
        <v>0</v>
      </c>
      <c r="E441" s="2">
        <f>SUMIFS([1]Sheet1!D:D,[1]Sheet1!A:A,A441,[1]Sheet1!E:E,"Mallas")</f>
        <v>0</v>
      </c>
      <c r="F441" s="2">
        <f>SUMIFS([1]Sheet1!D:D,[1]Sheet1!A:A,A441,[1]Sheet1!E:E,"Materia Prima")</f>
        <v>17709</v>
      </c>
      <c r="G441" s="2">
        <f t="shared" si="24"/>
        <v>0</v>
      </c>
      <c r="H441">
        <f t="shared" si="25"/>
        <v>1</v>
      </c>
      <c r="I441" s="2">
        <f t="shared" si="26"/>
        <v>0</v>
      </c>
      <c r="J441" s="2">
        <f t="shared" si="27"/>
        <v>0</v>
      </c>
    </row>
    <row r="442" spans="1:10" x14ac:dyDescent="0.3">
      <c r="A442">
        <v>1000017437</v>
      </c>
      <c r="B442" s="1">
        <f>VLOOKUP(A442,[1]Sheet1!A:B,2,FALSE)</f>
        <v>40565</v>
      </c>
      <c r="C442" s="2">
        <v>0</v>
      </c>
      <c r="D442" s="2">
        <f>SUMIFS([1]Sheet1!D:D,[1]Sheet1!A:A,A442,[1]Sheet1!E:E,"Figurado")</f>
        <v>0</v>
      </c>
      <c r="E442" s="2">
        <f>SUMIFS([1]Sheet1!D:D,[1]Sheet1!A:A,A442,[1]Sheet1!E:E,"Mallas")</f>
        <v>0</v>
      </c>
      <c r="F442" s="2">
        <f>SUMIFS([1]Sheet1!D:D,[1]Sheet1!A:A,A442,[1]Sheet1!E:E,"Materia Prima")</f>
        <v>17780</v>
      </c>
      <c r="G442" s="2">
        <f t="shared" si="24"/>
        <v>0</v>
      </c>
      <c r="H442">
        <f t="shared" si="25"/>
        <v>1</v>
      </c>
      <c r="I442" s="2">
        <f t="shared" si="26"/>
        <v>0</v>
      </c>
      <c r="J442" s="2">
        <f t="shared" si="27"/>
        <v>0</v>
      </c>
    </row>
    <row r="443" spans="1:10" x14ac:dyDescent="0.3">
      <c r="A443">
        <v>1000017440</v>
      </c>
      <c r="B443" s="1">
        <f>VLOOKUP(A443,[1]Sheet1!A:B,2,FALSE)</f>
        <v>40566</v>
      </c>
      <c r="C443" s="2">
        <v>0</v>
      </c>
      <c r="D443" s="2">
        <f>SUMIFS([1]Sheet1!D:D,[1]Sheet1!A:A,A443,[1]Sheet1!E:E,"Figurado")</f>
        <v>1116</v>
      </c>
      <c r="E443" s="2">
        <f>SUMIFS([1]Sheet1!D:D,[1]Sheet1!A:A,A443,[1]Sheet1!E:E,"Mallas")</f>
        <v>0</v>
      </c>
      <c r="F443" s="2">
        <f>SUMIFS([1]Sheet1!D:D,[1]Sheet1!A:A,A443,[1]Sheet1!E:E,"Materia Prima")</f>
        <v>0</v>
      </c>
      <c r="G443" s="2">
        <f t="shared" si="24"/>
        <v>0.42923076923076925</v>
      </c>
      <c r="H443">
        <f t="shared" si="25"/>
        <v>1</v>
      </c>
      <c r="I443" s="2">
        <f t="shared" si="26"/>
        <v>0.42923076923076925</v>
      </c>
      <c r="J443" s="2">
        <f t="shared" si="27"/>
        <v>0</v>
      </c>
    </row>
    <row r="444" spans="1:10" x14ac:dyDescent="0.3">
      <c r="A444">
        <v>1000017441</v>
      </c>
      <c r="B444" s="1">
        <f>VLOOKUP(A444,[1]Sheet1!A:B,2,FALSE)</f>
        <v>40566</v>
      </c>
      <c r="C444" s="2">
        <v>0</v>
      </c>
      <c r="D444" s="2">
        <f>SUMIFS([1]Sheet1!D:D,[1]Sheet1!A:A,A444,[1]Sheet1!E:E,"Figurado")</f>
        <v>9729.5</v>
      </c>
      <c r="E444" s="2">
        <f>SUMIFS([1]Sheet1!D:D,[1]Sheet1!A:A,A444,[1]Sheet1!E:E,"Mallas")</f>
        <v>0</v>
      </c>
      <c r="F444" s="2">
        <f>SUMIFS([1]Sheet1!D:D,[1]Sheet1!A:A,A444,[1]Sheet1!E:E,"Materia Prima")</f>
        <v>0</v>
      </c>
      <c r="G444" s="2">
        <f t="shared" si="24"/>
        <v>3.7421153846153845</v>
      </c>
      <c r="H444">
        <f t="shared" si="25"/>
        <v>1</v>
      </c>
      <c r="I444" s="2">
        <f t="shared" si="26"/>
        <v>3.7421153846153845</v>
      </c>
      <c r="J444" s="2">
        <f t="shared" si="27"/>
        <v>0</v>
      </c>
    </row>
    <row r="445" spans="1:10" x14ac:dyDescent="0.3">
      <c r="A445">
        <v>1000017442</v>
      </c>
      <c r="B445" s="1">
        <f>VLOOKUP(A445,[1]Sheet1!A:B,2,FALSE)</f>
        <v>40567</v>
      </c>
      <c r="C445" s="2">
        <v>0</v>
      </c>
      <c r="D445" s="2">
        <f>SUMIFS([1]Sheet1!D:D,[1]Sheet1!A:A,A445,[1]Sheet1!E:E,"Figurado")</f>
        <v>7894.6</v>
      </c>
      <c r="E445" s="2">
        <f>SUMIFS([1]Sheet1!D:D,[1]Sheet1!A:A,A445,[1]Sheet1!E:E,"Mallas")</f>
        <v>0</v>
      </c>
      <c r="F445" s="2">
        <f>SUMIFS([1]Sheet1!D:D,[1]Sheet1!A:A,A445,[1]Sheet1!E:E,"Materia Prima")</f>
        <v>0</v>
      </c>
      <c r="G445" s="2">
        <f t="shared" si="24"/>
        <v>3.0363846153846157</v>
      </c>
      <c r="H445">
        <f t="shared" si="25"/>
        <v>1</v>
      </c>
      <c r="I445" s="2">
        <f t="shared" si="26"/>
        <v>3.0363846153846157</v>
      </c>
      <c r="J445" s="2">
        <f t="shared" si="27"/>
        <v>0</v>
      </c>
    </row>
    <row r="446" spans="1:10" x14ac:dyDescent="0.3">
      <c r="A446">
        <v>1000017443</v>
      </c>
      <c r="B446" s="1">
        <f>VLOOKUP(A446,[1]Sheet1!A:B,2,FALSE)</f>
        <v>40567</v>
      </c>
      <c r="C446" s="2">
        <v>0</v>
      </c>
      <c r="D446" s="2">
        <f>SUMIFS([1]Sheet1!D:D,[1]Sheet1!A:A,A446,[1]Sheet1!E:E,"Figurado")</f>
        <v>2824.8</v>
      </c>
      <c r="E446" s="2">
        <f>SUMIFS([1]Sheet1!D:D,[1]Sheet1!A:A,A446,[1]Sheet1!E:E,"Mallas")</f>
        <v>0</v>
      </c>
      <c r="F446" s="2">
        <f>SUMIFS([1]Sheet1!D:D,[1]Sheet1!A:A,A446,[1]Sheet1!E:E,"Materia Prima")</f>
        <v>0</v>
      </c>
      <c r="G446" s="2">
        <f t="shared" si="24"/>
        <v>1.0864615384615386</v>
      </c>
      <c r="H446">
        <f t="shared" si="25"/>
        <v>1</v>
      </c>
      <c r="I446" s="2">
        <f t="shared" si="26"/>
        <v>1.0864615384615386</v>
      </c>
      <c r="J446" s="2">
        <f t="shared" si="27"/>
        <v>0</v>
      </c>
    </row>
    <row r="447" spans="1:10" x14ac:dyDescent="0.3">
      <c r="A447">
        <v>1000017444</v>
      </c>
      <c r="B447" s="1">
        <f>VLOOKUP(A447,[1]Sheet1!A:B,2,FALSE)</f>
        <v>40567</v>
      </c>
      <c r="C447" s="2">
        <v>0</v>
      </c>
      <c r="D447" s="2">
        <f>SUMIFS([1]Sheet1!D:D,[1]Sheet1!A:A,A447,[1]Sheet1!E:E,"Figurado")</f>
        <v>10647.7</v>
      </c>
      <c r="E447" s="2">
        <f>SUMIFS([1]Sheet1!D:D,[1]Sheet1!A:A,A447,[1]Sheet1!E:E,"Mallas")</f>
        <v>0</v>
      </c>
      <c r="F447" s="2">
        <f>SUMIFS([1]Sheet1!D:D,[1]Sheet1!A:A,A447,[1]Sheet1!E:E,"Materia Prima")</f>
        <v>0</v>
      </c>
      <c r="G447" s="2">
        <f t="shared" si="24"/>
        <v>4.0952692307692313</v>
      </c>
      <c r="H447">
        <f t="shared" si="25"/>
        <v>1</v>
      </c>
      <c r="I447" s="2">
        <f t="shared" si="26"/>
        <v>4.0952692307692313</v>
      </c>
      <c r="J447" s="2">
        <f t="shared" si="27"/>
        <v>0</v>
      </c>
    </row>
    <row r="448" spans="1:10" x14ac:dyDescent="0.3">
      <c r="A448">
        <v>1000017445</v>
      </c>
      <c r="B448" s="1">
        <f>VLOOKUP(A448,[1]Sheet1!A:B,2,FALSE)</f>
        <v>40567</v>
      </c>
      <c r="C448" s="2">
        <v>0</v>
      </c>
      <c r="D448" s="2">
        <f>SUMIFS([1]Sheet1!D:D,[1]Sheet1!A:A,A448,[1]Sheet1!E:E,"Figurado")</f>
        <v>2681.5</v>
      </c>
      <c r="E448" s="2">
        <f>SUMIFS([1]Sheet1!D:D,[1]Sheet1!A:A,A448,[1]Sheet1!E:E,"Mallas")</f>
        <v>0</v>
      </c>
      <c r="F448" s="2">
        <f>SUMIFS([1]Sheet1!D:D,[1]Sheet1!A:A,A448,[1]Sheet1!E:E,"Materia Prima")</f>
        <v>0</v>
      </c>
      <c r="G448" s="2">
        <f t="shared" si="24"/>
        <v>1.0313461538461539</v>
      </c>
      <c r="H448">
        <f t="shared" si="25"/>
        <v>1</v>
      </c>
      <c r="I448" s="2">
        <f t="shared" si="26"/>
        <v>1.0313461538461539</v>
      </c>
      <c r="J448" s="2">
        <f t="shared" si="27"/>
        <v>0</v>
      </c>
    </row>
    <row r="449" spans="1:10" x14ac:dyDescent="0.3">
      <c r="A449">
        <v>1000017446</v>
      </c>
      <c r="B449" s="1">
        <f>VLOOKUP(A449,[1]Sheet1!A:B,2,FALSE)</f>
        <v>40567</v>
      </c>
      <c r="C449" s="2">
        <v>0</v>
      </c>
      <c r="D449" s="2">
        <f>SUMIFS([1]Sheet1!D:D,[1]Sheet1!A:A,A449,[1]Sheet1!E:E,"Figurado")</f>
        <v>3271.6</v>
      </c>
      <c r="E449" s="2">
        <f>SUMIFS([1]Sheet1!D:D,[1]Sheet1!A:A,A449,[1]Sheet1!E:E,"Mallas")</f>
        <v>0</v>
      </c>
      <c r="F449" s="2">
        <f>SUMIFS([1]Sheet1!D:D,[1]Sheet1!A:A,A449,[1]Sheet1!E:E,"Materia Prima")</f>
        <v>0</v>
      </c>
      <c r="G449" s="2">
        <f t="shared" si="24"/>
        <v>1.2583076923076923</v>
      </c>
      <c r="H449">
        <f t="shared" si="25"/>
        <v>1</v>
      </c>
      <c r="I449" s="2">
        <f t="shared" si="26"/>
        <v>1.2583076923076923</v>
      </c>
      <c r="J449" s="2">
        <f t="shared" si="27"/>
        <v>0</v>
      </c>
    </row>
    <row r="450" spans="1:10" x14ac:dyDescent="0.3">
      <c r="A450">
        <v>1000017447</v>
      </c>
      <c r="B450" s="1">
        <f>VLOOKUP(A450,[1]Sheet1!A:B,2,FALSE)</f>
        <v>40567</v>
      </c>
      <c r="C450" s="2">
        <v>0</v>
      </c>
      <c r="D450" s="2">
        <f>SUMIFS([1]Sheet1!D:D,[1]Sheet1!A:A,A450,[1]Sheet1!E:E,"Figurado")</f>
        <v>546.79999999999995</v>
      </c>
      <c r="E450" s="2">
        <f>SUMIFS([1]Sheet1!D:D,[1]Sheet1!A:A,A450,[1]Sheet1!E:E,"Mallas")</f>
        <v>0</v>
      </c>
      <c r="F450" s="2">
        <f>SUMIFS([1]Sheet1!D:D,[1]Sheet1!A:A,A450,[1]Sheet1!E:E,"Materia Prima")</f>
        <v>0</v>
      </c>
      <c r="G450" s="2">
        <f t="shared" si="24"/>
        <v>0.21030769230769228</v>
      </c>
      <c r="H450">
        <f t="shared" si="25"/>
        <v>1</v>
      </c>
      <c r="I450" s="2">
        <f t="shared" si="26"/>
        <v>0.21030769230769228</v>
      </c>
      <c r="J450" s="2">
        <f t="shared" si="27"/>
        <v>0</v>
      </c>
    </row>
    <row r="451" spans="1:10" x14ac:dyDescent="0.3">
      <c r="A451">
        <v>1000017448</v>
      </c>
      <c r="B451" s="1">
        <f>VLOOKUP(A451,[1]Sheet1!A:B,2,FALSE)</f>
        <v>40567</v>
      </c>
      <c r="C451" s="2">
        <v>0</v>
      </c>
      <c r="D451" s="2">
        <f>SUMIFS([1]Sheet1!D:D,[1]Sheet1!A:A,A451,[1]Sheet1!E:E,"Figurado")</f>
        <v>161.1</v>
      </c>
      <c r="E451" s="2">
        <f>SUMIFS([1]Sheet1!D:D,[1]Sheet1!A:A,A451,[1]Sheet1!E:E,"Mallas")</f>
        <v>0</v>
      </c>
      <c r="F451" s="2">
        <f>SUMIFS([1]Sheet1!D:D,[1]Sheet1!A:A,A451,[1]Sheet1!E:E,"Materia Prima")</f>
        <v>0</v>
      </c>
      <c r="G451" s="2">
        <f t="shared" ref="G451:G514" si="28">(D451/2600)+(E451/800)</f>
        <v>6.1961538461538457E-2</v>
      </c>
      <c r="H451">
        <f t="shared" ref="H451:H514" si="29">(IF(D451&gt;0,1,0) + IF(E451&gt;0,1,0) + IF(F451&gt;0,1,0))</f>
        <v>1</v>
      </c>
      <c r="I451" s="2">
        <f t="shared" ref="I451:I514" si="30">D451/2600</f>
        <v>6.1961538461538457E-2</v>
      </c>
      <c r="J451" s="2">
        <f t="shared" ref="J451:J514" si="31">E451/800</f>
        <v>0</v>
      </c>
    </row>
    <row r="452" spans="1:10" x14ac:dyDescent="0.3">
      <c r="A452">
        <v>1000017449</v>
      </c>
      <c r="B452" s="1">
        <f>VLOOKUP(A452,[1]Sheet1!A:B,2,FALSE)</f>
        <v>40567</v>
      </c>
      <c r="C452" s="2">
        <v>0</v>
      </c>
      <c r="D452" s="2">
        <f>SUMIFS([1]Sheet1!D:D,[1]Sheet1!A:A,A452,[1]Sheet1!E:E,"Figurado")</f>
        <v>2225.8000000000002</v>
      </c>
      <c r="E452" s="2">
        <f>SUMIFS([1]Sheet1!D:D,[1]Sheet1!A:A,A452,[1]Sheet1!E:E,"Mallas")</f>
        <v>0</v>
      </c>
      <c r="F452" s="2">
        <f>SUMIFS([1]Sheet1!D:D,[1]Sheet1!A:A,A452,[1]Sheet1!E:E,"Materia Prima")</f>
        <v>0</v>
      </c>
      <c r="G452" s="2">
        <f t="shared" si="28"/>
        <v>0.85607692307692318</v>
      </c>
      <c r="H452">
        <f t="shared" si="29"/>
        <v>1</v>
      </c>
      <c r="I452" s="2">
        <f t="shared" si="30"/>
        <v>0.85607692307692318</v>
      </c>
      <c r="J452" s="2">
        <f t="shared" si="31"/>
        <v>0</v>
      </c>
    </row>
    <row r="453" spans="1:10" x14ac:dyDescent="0.3">
      <c r="A453">
        <v>1000017450</v>
      </c>
      <c r="B453" s="1">
        <f>VLOOKUP(A453,[1]Sheet1!A:B,2,FALSE)</f>
        <v>40567</v>
      </c>
      <c r="C453" s="2">
        <v>0</v>
      </c>
      <c r="D453" s="2">
        <f>SUMIFS([1]Sheet1!D:D,[1]Sheet1!A:A,A453,[1]Sheet1!E:E,"Figurado")</f>
        <v>2005.8</v>
      </c>
      <c r="E453" s="2">
        <f>SUMIFS([1]Sheet1!D:D,[1]Sheet1!A:A,A453,[1]Sheet1!E:E,"Mallas")</f>
        <v>0</v>
      </c>
      <c r="F453" s="2">
        <f>SUMIFS([1]Sheet1!D:D,[1]Sheet1!A:A,A453,[1]Sheet1!E:E,"Materia Prima")</f>
        <v>0</v>
      </c>
      <c r="G453" s="2">
        <f t="shared" si="28"/>
        <v>0.77146153846153842</v>
      </c>
      <c r="H453">
        <f t="shared" si="29"/>
        <v>1</v>
      </c>
      <c r="I453" s="2">
        <f t="shared" si="30"/>
        <v>0.77146153846153842</v>
      </c>
      <c r="J453" s="2">
        <f t="shared" si="31"/>
        <v>0</v>
      </c>
    </row>
    <row r="454" spans="1:10" x14ac:dyDescent="0.3">
      <c r="A454">
        <v>1000017451</v>
      </c>
      <c r="B454" s="1">
        <f>VLOOKUP(A454,[1]Sheet1!A:B,2,FALSE)</f>
        <v>40567</v>
      </c>
      <c r="C454" s="2">
        <v>0</v>
      </c>
      <c r="D454" s="2">
        <f>SUMIFS([1]Sheet1!D:D,[1]Sheet1!A:A,A454,[1]Sheet1!E:E,"Figurado")</f>
        <v>355.8</v>
      </c>
      <c r="E454" s="2">
        <f>SUMIFS([1]Sheet1!D:D,[1]Sheet1!A:A,A454,[1]Sheet1!E:E,"Mallas")</f>
        <v>0</v>
      </c>
      <c r="F454" s="2">
        <f>SUMIFS([1]Sheet1!D:D,[1]Sheet1!A:A,A454,[1]Sheet1!E:E,"Materia Prima")</f>
        <v>0</v>
      </c>
      <c r="G454" s="2">
        <f t="shared" si="28"/>
        <v>0.13684615384615384</v>
      </c>
      <c r="H454">
        <f t="shared" si="29"/>
        <v>1</v>
      </c>
      <c r="I454" s="2">
        <f t="shared" si="30"/>
        <v>0.13684615384615384</v>
      </c>
      <c r="J454" s="2">
        <f t="shared" si="31"/>
        <v>0</v>
      </c>
    </row>
    <row r="455" spans="1:10" x14ac:dyDescent="0.3">
      <c r="A455">
        <v>1000017459</v>
      </c>
      <c r="B455" s="1">
        <f>VLOOKUP(A455,[1]Sheet1!A:B,2,FALSE)</f>
        <v>40567</v>
      </c>
      <c r="C455" s="2">
        <v>0</v>
      </c>
      <c r="D455" s="2">
        <f>SUMIFS([1]Sheet1!D:D,[1]Sheet1!A:A,A455,[1]Sheet1!E:E,"Figurado")</f>
        <v>4053.2000000000003</v>
      </c>
      <c r="E455" s="2">
        <f>SUMIFS([1]Sheet1!D:D,[1]Sheet1!A:A,A455,[1]Sheet1!E:E,"Mallas")</f>
        <v>0</v>
      </c>
      <c r="F455" s="2">
        <f>SUMIFS([1]Sheet1!D:D,[1]Sheet1!A:A,A455,[1]Sheet1!E:E,"Materia Prima")</f>
        <v>98.9</v>
      </c>
      <c r="G455" s="2">
        <f t="shared" si="28"/>
        <v>1.5589230769230771</v>
      </c>
      <c r="H455">
        <f t="shared" si="29"/>
        <v>2</v>
      </c>
      <c r="I455" s="2">
        <f t="shared" si="30"/>
        <v>1.5589230769230771</v>
      </c>
      <c r="J455" s="2">
        <f t="shared" si="31"/>
        <v>0</v>
      </c>
    </row>
    <row r="456" spans="1:10" x14ac:dyDescent="0.3">
      <c r="A456">
        <v>1000017460</v>
      </c>
      <c r="B456" s="1">
        <f>VLOOKUP(A456,[1]Sheet1!A:B,2,FALSE)</f>
        <v>40567</v>
      </c>
      <c r="C456" s="2">
        <v>0</v>
      </c>
      <c r="D456" s="2">
        <f>SUMIFS([1]Sheet1!D:D,[1]Sheet1!A:A,A456,[1]Sheet1!E:E,"Figurado")</f>
        <v>2779.2</v>
      </c>
      <c r="E456" s="2">
        <f>SUMIFS([1]Sheet1!D:D,[1]Sheet1!A:A,A456,[1]Sheet1!E:E,"Mallas")</f>
        <v>0</v>
      </c>
      <c r="F456" s="2">
        <f>SUMIFS([1]Sheet1!D:D,[1]Sheet1!A:A,A456,[1]Sheet1!E:E,"Materia Prima")</f>
        <v>1890.7</v>
      </c>
      <c r="G456" s="2">
        <f t="shared" si="28"/>
        <v>1.0689230769230769</v>
      </c>
      <c r="H456">
        <f t="shared" si="29"/>
        <v>2</v>
      </c>
      <c r="I456" s="2">
        <f t="shared" si="30"/>
        <v>1.0689230769230769</v>
      </c>
      <c r="J456" s="2">
        <f t="shared" si="31"/>
        <v>0</v>
      </c>
    </row>
    <row r="457" spans="1:10" x14ac:dyDescent="0.3">
      <c r="A457">
        <v>1000017465</v>
      </c>
      <c r="B457" s="1">
        <f>VLOOKUP(A457,[1]Sheet1!A:B,2,FALSE)</f>
        <v>40567</v>
      </c>
      <c r="C457" s="2">
        <v>0</v>
      </c>
      <c r="D457" s="2">
        <f>SUMIFS([1]Sheet1!D:D,[1]Sheet1!A:A,A457,[1]Sheet1!E:E,"Figurado")</f>
        <v>11734.8</v>
      </c>
      <c r="E457" s="2">
        <f>SUMIFS([1]Sheet1!D:D,[1]Sheet1!A:A,A457,[1]Sheet1!E:E,"Mallas")</f>
        <v>0</v>
      </c>
      <c r="F457" s="2">
        <f>SUMIFS([1]Sheet1!D:D,[1]Sheet1!A:A,A457,[1]Sheet1!E:E,"Materia Prima")</f>
        <v>0</v>
      </c>
      <c r="G457" s="2">
        <f t="shared" si="28"/>
        <v>4.5133846153846147</v>
      </c>
      <c r="H457">
        <f t="shared" si="29"/>
        <v>1</v>
      </c>
      <c r="I457" s="2">
        <f t="shared" si="30"/>
        <v>4.5133846153846147</v>
      </c>
      <c r="J457" s="2">
        <f t="shared" si="31"/>
        <v>0</v>
      </c>
    </row>
    <row r="458" spans="1:10" x14ac:dyDescent="0.3">
      <c r="A458">
        <v>1000017484</v>
      </c>
      <c r="B458" s="1">
        <f>VLOOKUP(A458,[1]Sheet1!A:B,2,FALSE)</f>
        <v>40567</v>
      </c>
      <c r="C458" s="2">
        <v>0</v>
      </c>
      <c r="D458" s="2">
        <f>SUMIFS([1]Sheet1!D:D,[1]Sheet1!A:A,A458,[1]Sheet1!E:E,"Figurado")</f>
        <v>547.20000000000005</v>
      </c>
      <c r="E458" s="2">
        <f>SUMIFS([1]Sheet1!D:D,[1]Sheet1!A:A,A458,[1]Sheet1!E:E,"Mallas")</f>
        <v>0</v>
      </c>
      <c r="F458" s="2">
        <f>SUMIFS([1]Sheet1!D:D,[1]Sheet1!A:A,A458,[1]Sheet1!E:E,"Materia Prima")</f>
        <v>0</v>
      </c>
      <c r="G458" s="2">
        <f t="shared" si="28"/>
        <v>0.21046153846153848</v>
      </c>
      <c r="H458">
        <f t="shared" si="29"/>
        <v>1</v>
      </c>
      <c r="I458" s="2">
        <f t="shared" si="30"/>
        <v>0.21046153846153848</v>
      </c>
      <c r="J458" s="2">
        <f t="shared" si="31"/>
        <v>0</v>
      </c>
    </row>
    <row r="459" spans="1:10" x14ac:dyDescent="0.3">
      <c r="A459">
        <v>1000017357</v>
      </c>
      <c r="B459" s="1">
        <f>VLOOKUP(A459,[1]Sheet1!A:B,2,FALSE)</f>
        <v>40562</v>
      </c>
      <c r="C459" s="2">
        <v>0</v>
      </c>
      <c r="D459" s="2">
        <f>SUMIFS([1]Sheet1!D:D,[1]Sheet1!A:A,A459,[1]Sheet1!E:E,"Figurado")</f>
        <v>11191.2</v>
      </c>
      <c r="E459" s="2">
        <f>SUMIFS([1]Sheet1!D:D,[1]Sheet1!A:A,A459,[1]Sheet1!E:E,"Mallas")</f>
        <v>0</v>
      </c>
      <c r="F459" s="2">
        <f>SUMIFS([1]Sheet1!D:D,[1]Sheet1!A:A,A459,[1]Sheet1!E:E,"Materia Prima")</f>
        <v>0</v>
      </c>
      <c r="G459" s="2">
        <f t="shared" si="28"/>
        <v>4.3043076923076926</v>
      </c>
      <c r="H459">
        <f t="shared" si="29"/>
        <v>1</v>
      </c>
      <c r="I459" s="2">
        <f t="shared" si="30"/>
        <v>4.3043076923076926</v>
      </c>
      <c r="J459" s="2">
        <f t="shared" si="31"/>
        <v>0</v>
      </c>
    </row>
    <row r="460" spans="1:10" x14ac:dyDescent="0.3">
      <c r="A460">
        <v>1000017401</v>
      </c>
      <c r="B460" s="1">
        <f>VLOOKUP(A460,[1]Sheet1!A:B,2,FALSE)</f>
        <v>40564</v>
      </c>
      <c r="C460" s="2">
        <v>0</v>
      </c>
      <c r="D460" s="2">
        <f>SUMIFS([1]Sheet1!D:D,[1]Sheet1!A:A,A460,[1]Sheet1!E:E,"Figurado")</f>
        <v>1405.8000000000002</v>
      </c>
      <c r="E460" s="2">
        <f>SUMIFS([1]Sheet1!D:D,[1]Sheet1!A:A,A460,[1]Sheet1!E:E,"Mallas")</f>
        <v>0</v>
      </c>
      <c r="F460" s="2">
        <f>SUMIFS([1]Sheet1!D:D,[1]Sheet1!A:A,A460,[1]Sheet1!E:E,"Materia Prima")</f>
        <v>0</v>
      </c>
      <c r="G460" s="2">
        <f t="shared" si="28"/>
        <v>0.54069230769230781</v>
      </c>
      <c r="H460">
        <f t="shared" si="29"/>
        <v>1</v>
      </c>
      <c r="I460" s="2">
        <f t="shared" si="30"/>
        <v>0.54069230769230781</v>
      </c>
      <c r="J460" s="2">
        <f t="shared" si="31"/>
        <v>0</v>
      </c>
    </row>
    <row r="461" spans="1:10" x14ac:dyDescent="0.3">
      <c r="A461">
        <v>1000017461</v>
      </c>
      <c r="B461" s="1">
        <f>VLOOKUP(A461,[1]Sheet1!A:B,2,FALSE)</f>
        <v>40567</v>
      </c>
      <c r="C461" s="2">
        <v>0</v>
      </c>
      <c r="D461" s="2">
        <f>SUMIFS([1]Sheet1!D:D,[1]Sheet1!A:A,A461,[1]Sheet1!E:E,"Figurado")</f>
        <v>966.9</v>
      </c>
      <c r="E461" s="2">
        <f>SUMIFS([1]Sheet1!D:D,[1]Sheet1!A:A,A461,[1]Sheet1!E:E,"Mallas")</f>
        <v>0</v>
      </c>
      <c r="F461" s="2">
        <f>SUMIFS([1]Sheet1!D:D,[1]Sheet1!A:A,A461,[1]Sheet1!E:E,"Materia Prima")</f>
        <v>0</v>
      </c>
      <c r="G461" s="2">
        <f t="shared" si="28"/>
        <v>0.37188461538461537</v>
      </c>
      <c r="H461">
        <f t="shared" si="29"/>
        <v>1</v>
      </c>
      <c r="I461" s="2">
        <f t="shared" si="30"/>
        <v>0.37188461538461537</v>
      </c>
      <c r="J461" s="2">
        <f t="shared" si="31"/>
        <v>0</v>
      </c>
    </row>
    <row r="462" spans="1:10" x14ac:dyDescent="0.3">
      <c r="A462">
        <v>1000017462</v>
      </c>
      <c r="B462" s="1">
        <f>VLOOKUP(A462,[1]Sheet1!A:B,2,FALSE)</f>
        <v>40567</v>
      </c>
      <c r="C462" s="2">
        <v>0</v>
      </c>
      <c r="D462" s="2">
        <f>SUMIFS([1]Sheet1!D:D,[1]Sheet1!A:A,A462,[1]Sheet1!E:E,"Figurado")</f>
        <v>432.9</v>
      </c>
      <c r="E462" s="2">
        <f>SUMIFS([1]Sheet1!D:D,[1]Sheet1!A:A,A462,[1]Sheet1!E:E,"Mallas")</f>
        <v>0</v>
      </c>
      <c r="F462" s="2">
        <f>SUMIFS([1]Sheet1!D:D,[1]Sheet1!A:A,A462,[1]Sheet1!E:E,"Materia Prima")</f>
        <v>0</v>
      </c>
      <c r="G462" s="2">
        <f t="shared" si="28"/>
        <v>0.16649999999999998</v>
      </c>
      <c r="H462">
        <f t="shared" si="29"/>
        <v>1</v>
      </c>
      <c r="I462" s="2">
        <f t="shared" si="30"/>
        <v>0.16649999999999998</v>
      </c>
      <c r="J462" s="2">
        <f t="shared" si="31"/>
        <v>0</v>
      </c>
    </row>
    <row r="463" spans="1:10" x14ac:dyDescent="0.3">
      <c r="A463">
        <v>1000017463</v>
      </c>
      <c r="B463" s="1">
        <f>VLOOKUP(A463,[1]Sheet1!A:B,2,FALSE)</f>
        <v>40567</v>
      </c>
      <c r="C463" s="2">
        <v>0</v>
      </c>
      <c r="D463" s="2">
        <f>SUMIFS([1]Sheet1!D:D,[1]Sheet1!A:A,A463,[1]Sheet1!E:E,"Figurado")</f>
        <v>358</v>
      </c>
      <c r="E463" s="2">
        <f>SUMIFS([1]Sheet1!D:D,[1]Sheet1!A:A,A463,[1]Sheet1!E:E,"Mallas")</f>
        <v>0</v>
      </c>
      <c r="F463" s="2">
        <f>SUMIFS([1]Sheet1!D:D,[1]Sheet1!A:A,A463,[1]Sheet1!E:E,"Materia Prima")</f>
        <v>0</v>
      </c>
      <c r="G463" s="2">
        <f t="shared" si="28"/>
        <v>0.1376923076923077</v>
      </c>
      <c r="H463">
        <f t="shared" si="29"/>
        <v>1</v>
      </c>
      <c r="I463" s="2">
        <f t="shared" si="30"/>
        <v>0.1376923076923077</v>
      </c>
      <c r="J463" s="2">
        <f t="shared" si="31"/>
        <v>0</v>
      </c>
    </row>
    <row r="464" spans="1:10" x14ac:dyDescent="0.3">
      <c r="A464">
        <v>1000017464</v>
      </c>
      <c r="B464" s="1">
        <f>VLOOKUP(A464,[1]Sheet1!A:B,2,FALSE)</f>
        <v>40567</v>
      </c>
      <c r="C464" s="2">
        <v>0</v>
      </c>
      <c r="D464" s="2">
        <f>SUMIFS([1]Sheet1!D:D,[1]Sheet1!A:A,A464,[1]Sheet1!E:E,"Figurado")</f>
        <v>3536.6</v>
      </c>
      <c r="E464" s="2">
        <f>SUMIFS([1]Sheet1!D:D,[1]Sheet1!A:A,A464,[1]Sheet1!E:E,"Mallas")</f>
        <v>0</v>
      </c>
      <c r="F464" s="2">
        <f>SUMIFS([1]Sheet1!D:D,[1]Sheet1!A:A,A464,[1]Sheet1!E:E,"Materia Prima")</f>
        <v>0</v>
      </c>
      <c r="G464" s="2">
        <f t="shared" si="28"/>
        <v>1.3602307692307691</v>
      </c>
      <c r="H464">
        <f t="shared" si="29"/>
        <v>1</v>
      </c>
      <c r="I464" s="2">
        <f t="shared" si="30"/>
        <v>1.3602307692307691</v>
      </c>
      <c r="J464" s="2">
        <f t="shared" si="31"/>
        <v>0</v>
      </c>
    </row>
    <row r="465" spans="1:10" x14ac:dyDescent="0.3">
      <c r="A465">
        <v>1000017468</v>
      </c>
      <c r="B465" s="1">
        <f>VLOOKUP(A465,[1]Sheet1!A:B,2,FALSE)</f>
        <v>40567</v>
      </c>
      <c r="C465" s="2">
        <v>0</v>
      </c>
      <c r="D465" s="2">
        <f>SUMIFS([1]Sheet1!D:D,[1]Sheet1!A:A,A465,[1]Sheet1!E:E,"Figurado")</f>
        <v>4842.2</v>
      </c>
      <c r="E465" s="2">
        <f>SUMIFS([1]Sheet1!D:D,[1]Sheet1!A:A,A465,[1]Sheet1!E:E,"Mallas")</f>
        <v>0</v>
      </c>
      <c r="F465" s="2">
        <f>SUMIFS([1]Sheet1!D:D,[1]Sheet1!A:A,A465,[1]Sheet1!E:E,"Materia Prima")</f>
        <v>0</v>
      </c>
      <c r="G465" s="2">
        <f t="shared" si="28"/>
        <v>1.8623846153846153</v>
      </c>
      <c r="H465">
        <f t="shared" si="29"/>
        <v>1</v>
      </c>
      <c r="I465" s="2">
        <f t="shared" si="30"/>
        <v>1.8623846153846153</v>
      </c>
      <c r="J465" s="2">
        <f t="shared" si="31"/>
        <v>0</v>
      </c>
    </row>
    <row r="466" spans="1:10" x14ac:dyDescent="0.3">
      <c r="A466">
        <v>1000017471</v>
      </c>
      <c r="B466" s="1">
        <f>VLOOKUP(A466,[1]Sheet1!A:B,2,FALSE)</f>
        <v>40567</v>
      </c>
      <c r="C466" s="2">
        <v>0</v>
      </c>
      <c r="D466" s="2">
        <f>SUMIFS([1]Sheet1!D:D,[1]Sheet1!A:A,A466,[1]Sheet1!E:E,"Figurado")</f>
        <v>5855.7</v>
      </c>
      <c r="E466" s="2">
        <f>SUMIFS([1]Sheet1!D:D,[1]Sheet1!A:A,A466,[1]Sheet1!E:E,"Mallas")</f>
        <v>0</v>
      </c>
      <c r="F466" s="2">
        <f>SUMIFS([1]Sheet1!D:D,[1]Sheet1!A:A,A466,[1]Sheet1!E:E,"Materia Prima")</f>
        <v>0</v>
      </c>
      <c r="G466" s="2">
        <f t="shared" si="28"/>
        <v>2.2521923076923076</v>
      </c>
      <c r="H466">
        <f t="shared" si="29"/>
        <v>1</v>
      </c>
      <c r="I466" s="2">
        <f t="shared" si="30"/>
        <v>2.2521923076923076</v>
      </c>
      <c r="J466" s="2">
        <f t="shared" si="31"/>
        <v>0</v>
      </c>
    </row>
    <row r="467" spans="1:10" x14ac:dyDescent="0.3">
      <c r="A467">
        <v>1000017479</v>
      </c>
      <c r="B467" s="1">
        <f>VLOOKUP(A467,[1]Sheet1!A:B,2,FALSE)</f>
        <v>40567</v>
      </c>
      <c r="C467" s="2">
        <v>0</v>
      </c>
      <c r="D467" s="2">
        <f>SUMIFS([1]Sheet1!D:D,[1]Sheet1!A:A,A467,[1]Sheet1!E:E,"Figurado")</f>
        <v>2291.9</v>
      </c>
      <c r="E467" s="2">
        <f>SUMIFS([1]Sheet1!D:D,[1]Sheet1!A:A,A467,[1]Sheet1!E:E,"Mallas")</f>
        <v>0</v>
      </c>
      <c r="F467" s="2">
        <f>SUMIFS([1]Sheet1!D:D,[1]Sheet1!A:A,A467,[1]Sheet1!E:E,"Materia Prima")</f>
        <v>0</v>
      </c>
      <c r="G467" s="2">
        <f t="shared" si="28"/>
        <v>0.88150000000000006</v>
      </c>
      <c r="H467">
        <f t="shared" si="29"/>
        <v>1</v>
      </c>
      <c r="I467" s="2">
        <f t="shared" si="30"/>
        <v>0.88150000000000006</v>
      </c>
      <c r="J467" s="2">
        <f t="shared" si="31"/>
        <v>0</v>
      </c>
    </row>
    <row r="468" spans="1:10" x14ac:dyDescent="0.3">
      <c r="A468">
        <v>1000017480</v>
      </c>
      <c r="B468" s="1">
        <f>VLOOKUP(A468,[1]Sheet1!A:B,2,FALSE)</f>
        <v>40567</v>
      </c>
      <c r="C468" s="2">
        <v>0</v>
      </c>
      <c r="D468" s="2">
        <f>SUMIFS([1]Sheet1!D:D,[1]Sheet1!A:A,A468,[1]Sheet1!E:E,"Figurado")</f>
        <v>612.29999999999995</v>
      </c>
      <c r="E468" s="2">
        <f>SUMIFS([1]Sheet1!D:D,[1]Sheet1!A:A,A468,[1]Sheet1!E:E,"Mallas")</f>
        <v>0</v>
      </c>
      <c r="F468" s="2">
        <f>SUMIFS([1]Sheet1!D:D,[1]Sheet1!A:A,A468,[1]Sheet1!E:E,"Materia Prima")</f>
        <v>0</v>
      </c>
      <c r="G468" s="2">
        <f t="shared" si="28"/>
        <v>0.23549999999999999</v>
      </c>
      <c r="H468">
        <f t="shared" si="29"/>
        <v>1</v>
      </c>
      <c r="I468" s="2">
        <f t="shared" si="30"/>
        <v>0.23549999999999999</v>
      </c>
      <c r="J468" s="2">
        <f t="shared" si="31"/>
        <v>0</v>
      </c>
    </row>
    <row r="469" spans="1:10" x14ac:dyDescent="0.3">
      <c r="A469">
        <v>1000017481</v>
      </c>
      <c r="B469" s="1">
        <f>VLOOKUP(A469,[1]Sheet1!A:B,2,FALSE)</f>
        <v>40567</v>
      </c>
      <c r="C469" s="2">
        <v>0</v>
      </c>
      <c r="D469" s="2">
        <f>SUMIFS([1]Sheet1!D:D,[1]Sheet1!A:A,A469,[1]Sheet1!E:E,"Figurado")</f>
        <v>457.6</v>
      </c>
      <c r="E469" s="2">
        <f>SUMIFS([1]Sheet1!D:D,[1]Sheet1!A:A,A469,[1]Sheet1!E:E,"Mallas")</f>
        <v>0</v>
      </c>
      <c r="F469" s="2">
        <f>SUMIFS([1]Sheet1!D:D,[1]Sheet1!A:A,A469,[1]Sheet1!E:E,"Materia Prima")</f>
        <v>0</v>
      </c>
      <c r="G469" s="2">
        <f t="shared" si="28"/>
        <v>0.17600000000000002</v>
      </c>
      <c r="H469">
        <f t="shared" si="29"/>
        <v>1</v>
      </c>
      <c r="I469" s="2">
        <f t="shared" si="30"/>
        <v>0.17600000000000002</v>
      </c>
      <c r="J469" s="2">
        <f t="shared" si="31"/>
        <v>0</v>
      </c>
    </row>
    <row r="470" spans="1:10" x14ac:dyDescent="0.3">
      <c r="A470">
        <v>1000017482</v>
      </c>
      <c r="B470" s="1">
        <f>VLOOKUP(A470,[1]Sheet1!A:B,2,FALSE)</f>
        <v>40567</v>
      </c>
      <c r="C470" s="2">
        <v>0</v>
      </c>
      <c r="D470" s="2">
        <f>SUMIFS([1]Sheet1!D:D,[1]Sheet1!A:A,A470,[1]Sheet1!E:E,"Figurado")</f>
        <v>993.7</v>
      </c>
      <c r="E470" s="2">
        <f>SUMIFS([1]Sheet1!D:D,[1]Sheet1!A:A,A470,[1]Sheet1!E:E,"Mallas")</f>
        <v>0</v>
      </c>
      <c r="F470" s="2">
        <f>SUMIFS([1]Sheet1!D:D,[1]Sheet1!A:A,A470,[1]Sheet1!E:E,"Materia Prima")</f>
        <v>0</v>
      </c>
      <c r="G470" s="2">
        <f t="shared" si="28"/>
        <v>0.38219230769230772</v>
      </c>
      <c r="H470">
        <f t="shared" si="29"/>
        <v>1</v>
      </c>
      <c r="I470" s="2">
        <f t="shared" si="30"/>
        <v>0.38219230769230772</v>
      </c>
      <c r="J470" s="2">
        <f t="shared" si="31"/>
        <v>0</v>
      </c>
    </row>
    <row r="471" spans="1:10" x14ac:dyDescent="0.3">
      <c r="A471">
        <v>1000017486</v>
      </c>
      <c r="B471" s="1">
        <f>VLOOKUP(A471,[1]Sheet1!A:B,2,FALSE)</f>
        <v>40568</v>
      </c>
      <c r="C471" s="2">
        <v>0</v>
      </c>
      <c r="D471" s="2">
        <f>SUMIFS([1]Sheet1!D:D,[1]Sheet1!A:A,A471,[1]Sheet1!E:E,"Figurado")</f>
        <v>1748.1</v>
      </c>
      <c r="E471" s="2">
        <f>SUMIFS([1]Sheet1!D:D,[1]Sheet1!A:A,A471,[1]Sheet1!E:E,"Mallas")</f>
        <v>0</v>
      </c>
      <c r="F471" s="2">
        <f>SUMIFS([1]Sheet1!D:D,[1]Sheet1!A:A,A471,[1]Sheet1!E:E,"Materia Prima")</f>
        <v>0</v>
      </c>
      <c r="G471" s="2">
        <f t="shared" si="28"/>
        <v>0.67234615384615382</v>
      </c>
      <c r="H471">
        <f t="shared" si="29"/>
        <v>1</v>
      </c>
      <c r="I471" s="2">
        <f t="shared" si="30"/>
        <v>0.67234615384615382</v>
      </c>
      <c r="J471" s="2">
        <f t="shared" si="31"/>
        <v>0</v>
      </c>
    </row>
    <row r="472" spans="1:10" x14ac:dyDescent="0.3">
      <c r="A472">
        <v>1000017487</v>
      </c>
      <c r="B472" s="1">
        <f>VLOOKUP(A472,[1]Sheet1!A:B,2,FALSE)</f>
        <v>40568</v>
      </c>
      <c r="C472" s="2">
        <v>0</v>
      </c>
      <c r="D472" s="2">
        <f>SUMIFS([1]Sheet1!D:D,[1]Sheet1!A:A,A472,[1]Sheet1!E:E,"Figurado")</f>
        <v>1125.2</v>
      </c>
      <c r="E472" s="2">
        <f>SUMIFS([1]Sheet1!D:D,[1]Sheet1!A:A,A472,[1]Sheet1!E:E,"Mallas")</f>
        <v>0</v>
      </c>
      <c r="F472" s="2">
        <f>SUMIFS([1]Sheet1!D:D,[1]Sheet1!A:A,A472,[1]Sheet1!E:E,"Materia Prima")</f>
        <v>0</v>
      </c>
      <c r="G472" s="2">
        <f t="shared" si="28"/>
        <v>0.43276923076923079</v>
      </c>
      <c r="H472">
        <f t="shared" si="29"/>
        <v>1</v>
      </c>
      <c r="I472" s="2">
        <f t="shared" si="30"/>
        <v>0.43276923076923079</v>
      </c>
      <c r="J472" s="2">
        <f t="shared" si="31"/>
        <v>0</v>
      </c>
    </row>
    <row r="473" spans="1:10" x14ac:dyDescent="0.3">
      <c r="A473">
        <v>1000017489</v>
      </c>
      <c r="B473" s="1">
        <f>VLOOKUP(A473,[1]Sheet1!A:B,2,FALSE)</f>
        <v>40568</v>
      </c>
      <c r="C473" s="2">
        <v>0</v>
      </c>
      <c r="D473" s="2">
        <f>SUMIFS([1]Sheet1!D:D,[1]Sheet1!A:A,A473,[1]Sheet1!E:E,"Figurado")</f>
        <v>459.2</v>
      </c>
      <c r="E473" s="2">
        <f>SUMIFS([1]Sheet1!D:D,[1]Sheet1!A:A,A473,[1]Sheet1!E:E,"Mallas")</f>
        <v>0</v>
      </c>
      <c r="F473" s="2">
        <f>SUMIFS([1]Sheet1!D:D,[1]Sheet1!A:A,A473,[1]Sheet1!E:E,"Materia Prima")</f>
        <v>0</v>
      </c>
      <c r="G473" s="2">
        <f t="shared" si="28"/>
        <v>0.17661538461538462</v>
      </c>
      <c r="H473">
        <f t="shared" si="29"/>
        <v>1</v>
      </c>
      <c r="I473" s="2">
        <f t="shared" si="30"/>
        <v>0.17661538461538462</v>
      </c>
      <c r="J473" s="2">
        <f t="shared" si="31"/>
        <v>0</v>
      </c>
    </row>
    <row r="474" spans="1:10" x14ac:dyDescent="0.3">
      <c r="A474">
        <v>1000017494</v>
      </c>
      <c r="B474" s="1">
        <f>VLOOKUP(A474,[1]Sheet1!A:B,2,FALSE)</f>
        <v>40568</v>
      </c>
      <c r="C474" s="2">
        <v>0</v>
      </c>
      <c r="D474" s="2">
        <f>SUMIFS([1]Sheet1!D:D,[1]Sheet1!A:A,A474,[1]Sheet1!E:E,"Figurado")</f>
        <v>943.3</v>
      </c>
      <c r="E474" s="2">
        <f>SUMIFS([1]Sheet1!D:D,[1]Sheet1!A:A,A474,[1]Sheet1!E:E,"Mallas")</f>
        <v>0</v>
      </c>
      <c r="F474" s="2">
        <f>SUMIFS([1]Sheet1!D:D,[1]Sheet1!A:A,A474,[1]Sheet1!E:E,"Materia Prima")</f>
        <v>0</v>
      </c>
      <c r="G474" s="2">
        <f t="shared" si="28"/>
        <v>0.36280769230769228</v>
      </c>
      <c r="H474">
        <f t="shared" si="29"/>
        <v>1</v>
      </c>
      <c r="I474" s="2">
        <f t="shared" si="30"/>
        <v>0.36280769230769228</v>
      </c>
      <c r="J474" s="2">
        <f t="shared" si="31"/>
        <v>0</v>
      </c>
    </row>
    <row r="475" spans="1:10" x14ac:dyDescent="0.3">
      <c r="A475">
        <v>1000017495</v>
      </c>
      <c r="B475" s="1">
        <f>VLOOKUP(A475,[1]Sheet1!A:B,2,FALSE)</f>
        <v>40568</v>
      </c>
      <c r="C475" s="2">
        <v>0</v>
      </c>
      <c r="D475" s="2">
        <f>SUMIFS([1]Sheet1!D:D,[1]Sheet1!A:A,A475,[1]Sheet1!E:E,"Figurado")</f>
        <v>1067.2</v>
      </c>
      <c r="E475" s="2">
        <f>SUMIFS([1]Sheet1!D:D,[1]Sheet1!A:A,A475,[1]Sheet1!E:E,"Mallas")</f>
        <v>0</v>
      </c>
      <c r="F475" s="2">
        <f>SUMIFS([1]Sheet1!D:D,[1]Sheet1!A:A,A475,[1]Sheet1!E:E,"Materia Prima")</f>
        <v>0</v>
      </c>
      <c r="G475" s="2">
        <f t="shared" si="28"/>
        <v>0.41046153846153849</v>
      </c>
      <c r="H475">
        <f t="shared" si="29"/>
        <v>1</v>
      </c>
      <c r="I475" s="2">
        <f t="shared" si="30"/>
        <v>0.41046153846153849</v>
      </c>
      <c r="J475" s="2">
        <f t="shared" si="31"/>
        <v>0</v>
      </c>
    </row>
    <row r="476" spans="1:10" x14ac:dyDescent="0.3">
      <c r="A476">
        <v>1000017496</v>
      </c>
      <c r="B476" s="1">
        <f>VLOOKUP(A476,[1]Sheet1!A:B,2,FALSE)</f>
        <v>40568</v>
      </c>
      <c r="C476" s="2">
        <v>0</v>
      </c>
      <c r="D476" s="2">
        <f>SUMIFS([1]Sheet1!D:D,[1]Sheet1!A:A,A476,[1]Sheet1!E:E,"Figurado")</f>
        <v>8100</v>
      </c>
      <c r="E476" s="2">
        <f>SUMIFS([1]Sheet1!D:D,[1]Sheet1!A:A,A476,[1]Sheet1!E:E,"Mallas")</f>
        <v>0</v>
      </c>
      <c r="F476" s="2">
        <f>SUMIFS([1]Sheet1!D:D,[1]Sheet1!A:A,A476,[1]Sheet1!E:E,"Materia Prima")</f>
        <v>0</v>
      </c>
      <c r="G476" s="2">
        <f t="shared" si="28"/>
        <v>3.1153846153846154</v>
      </c>
      <c r="H476">
        <f t="shared" si="29"/>
        <v>1</v>
      </c>
      <c r="I476" s="2">
        <f t="shared" si="30"/>
        <v>3.1153846153846154</v>
      </c>
      <c r="J476" s="2">
        <f t="shared" si="31"/>
        <v>0</v>
      </c>
    </row>
    <row r="477" spans="1:10" x14ac:dyDescent="0.3">
      <c r="A477">
        <v>1000017497</v>
      </c>
      <c r="B477" s="1">
        <f>VLOOKUP(A477,[1]Sheet1!A:B,2,FALSE)</f>
        <v>40568</v>
      </c>
      <c r="C477" s="2">
        <v>0</v>
      </c>
      <c r="D477" s="2">
        <f>SUMIFS([1]Sheet1!D:D,[1]Sheet1!A:A,A477,[1]Sheet1!E:E,"Figurado")</f>
        <v>1239.5999999999999</v>
      </c>
      <c r="E477" s="2">
        <f>SUMIFS([1]Sheet1!D:D,[1]Sheet1!A:A,A477,[1]Sheet1!E:E,"Mallas")</f>
        <v>0</v>
      </c>
      <c r="F477" s="2">
        <f>SUMIFS([1]Sheet1!D:D,[1]Sheet1!A:A,A477,[1]Sheet1!E:E,"Materia Prima")</f>
        <v>0</v>
      </c>
      <c r="G477" s="2">
        <f t="shared" si="28"/>
        <v>0.47676923076923072</v>
      </c>
      <c r="H477">
        <f t="shared" si="29"/>
        <v>1</v>
      </c>
      <c r="I477" s="2">
        <f t="shared" si="30"/>
        <v>0.47676923076923072</v>
      </c>
      <c r="J477" s="2">
        <f t="shared" si="31"/>
        <v>0</v>
      </c>
    </row>
    <row r="478" spans="1:10" x14ac:dyDescent="0.3">
      <c r="A478">
        <v>1000017499</v>
      </c>
      <c r="B478" s="1">
        <f>VLOOKUP(A478,[1]Sheet1!A:B,2,FALSE)</f>
        <v>40568</v>
      </c>
      <c r="C478" s="2">
        <v>0</v>
      </c>
      <c r="D478" s="2">
        <f>SUMIFS([1]Sheet1!D:D,[1]Sheet1!A:A,A478,[1]Sheet1!E:E,"Figurado")</f>
        <v>1852.3</v>
      </c>
      <c r="E478" s="2">
        <f>SUMIFS([1]Sheet1!D:D,[1]Sheet1!A:A,A478,[1]Sheet1!E:E,"Mallas")</f>
        <v>0</v>
      </c>
      <c r="F478" s="2">
        <f>SUMIFS([1]Sheet1!D:D,[1]Sheet1!A:A,A478,[1]Sheet1!E:E,"Materia Prima")</f>
        <v>0</v>
      </c>
      <c r="G478" s="2">
        <f t="shared" si="28"/>
        <v>0.71242307692307694</v>
      </c>
      <c r="H478">
        <f t="shared" si="29"/>
        <v>1</v>
      </c>
      <c r="I478" s="2">
        <f t="shared" si="30"/>
        <v>0.71242307692307694</v>
      </c>
      <c r="J478" s="2">
        <f t="shared" si="31"/>
        <v>0</v>
      </c>
    </row>
    <row r="479" spans="1:10" x14ac:dyDescent="0.3">
      <c r="A479">
        <v>1000017500</v>
      </c>
      <c r="B479" s="1">
        <f>VLOOKUP(A479,[1]Sheet1!A:B,2,FALSE)</f>
        <v>40568</v>
      </c>
      <c r="C479" s="2">
        <v>0</v>
      </c>
      <c r="D479" s="2">
        <f>SUMIFS([1]Sheet1!D:D,[1]Sheet1!A:A,A479,[1]Sheet1!E:E,"Figurado")</f>
        <v>13.4</v>
      </c>
      <c r="E479" s="2">
        <f>SUMIFS([1]Sheet1!D:D,[1]Sheet1!A:A,A479,[1]Sheet1!E:E,"Mallas")</f>
        <v>0</v>
      </c>
      <c r="F479" s="2">
        <f>SUMIFS([1]Sheet1!D:D,[1]Sheet1!A:A,A479,[1]Sheet1!E:E,"Materia Prima")</f>
        <v>0</v>
      </c>
      <c r="G479" s="2">
        <f t="shared" si="28"/>
        <v>5.1538461538461538E-3</v>
      </c>
      <c r="H479">
        <f t="shared" si="29"/>
        <v>1</v>
      </c>
      <c r="I479" s="2">
        <f t="shared" si="30"/>
        <v>5.1538461538461538E-3</v>
      </c>
      <c r="J479" s="2">
        <f t="shared" si="31"/>
        <v>0</v>
      </c>
    </row>
    <row r="480" spans="1:10" x14ac:dyDescent="0.3">
      <c r="A480">
        <v>1000017501</v>
      </c>
      <c r="B480" s="1">
        <f>VLOOKUP(A480,[1]Sheet1!A:B,2,FALSE)</f>
        <v>40568</v>
      </c>
      <c r="C480" s="2">
        <v>0</v>
      </c>
      <c r="D480" s="2">
        <f>SUMIFS([1]Sheet1!D:D,[1]Sheet1!A:A,A480,[1]Sheet1!E:E,"Figurado")</f>
        <v>3171.7</v>
      </c>
      <c r="E480" s="2">
        <f>SUMIFS([1]Sheet1!D:D,[1]Sheet1!A:A,A480,[1]Sheet1!E:E,"Mallas")</f>
        <v>0</v>
      </c>
      <c r="F480" s="2">
        <f>SUMIFS([1]Sheet1!D:D,[1]Sheet1!A:A,A480,[1]Sheet1!E:E,"Materia Prima")</f>
        <v>0</v>
      </c>
      <c r="G480" s="2">
        <f t="shared" si="28"/>
        <v>1.2198846153846152</v>
      </c>
      <c r="H480">
        <f t="shared" si="29"/>
        <v>1</v>
      </c>
      <c r="I480" s="2">
        <f t="shared" si="30"/>
        <v>1.2198846153846152</v>
      </c>
      <c r="J480" s="2">
        <f t="shared" si="31"/>
        <v>0</v>
      </c>
    </row>
    <row r="481" spans="1:10" x14ac:dyDescent="0.3">
      <c r="A481">
        <v>1000017502</v>
      </c>
      <c r="B481" s="1">
        <f>VLOOKUP(A481,[1]Sheet1!A:B,2,FALSE)</f>
        <v>40568</v>
      </c>
      <c r="C481" s="2">
        <v>0</v>
      </c>
      <c r="D481" s="2">
        <f>SUMIFS([1]Sheet1!D:D,[1]Sheet1!A:A,A481,[1]Sheet1!E:E,"Figurado")</f>
        <v>3854.8</v>
      </c>
      <c r="E481" s="2">
        <f>SUMIFS([1]Sheet1!D:D,[1]Sheet1!A:A,A481,[1]Sheet1!E:E,"Mallas")</f>
        <v>0</v>
      </c>
      <c r="F481" s="2">
        <f>SUMIFS([1]Sheet1!D:D,[1]Sheet1!A:A,A481,[1]Sheet1!E:E,"Materia Prima")</f>
        <v>1633</v>
      </c>
      <c r="G481" s="2">
        <f t="shared" si="28"/>
        <v>1.4826153846153847</v>
      </c>
      <c r="H481">
        <f t="shared" si="29"/>
        <v>2</v>
      </c>
      <c r="I481" s="2">
        <f t="shared" si="30"/>
        <v>1.4826153846153847</v>
      </c>
      <c r="J481" s="2">
        <f t="shared" si="31"/>
        <v>0</v>
      </c>
    </row>
    <row r="482" spans="1:10" x14ac:dyDescent="0.3">
      <c r="A482">
        <v>1000017503</v>
      </c>
      <c r="B482" s="1">
        <f>VLOOKUP(A482,[1]Sheet1!A:B,2,FALSE)</f>
        <v>40568</v>
      </c>
      <c r="C482" s="2">
        <v>0</v>
      </c>
      <c r="D482" s="2">
        <f>SUMIFS([1]Sheet1!D:D,[1]Sheet1!A:A,A482,[1]Sheet1!E:E,"Figurado")</f>
        <v>1089</v>
      </c>
      <c r="E482" s="2">
        <f>SUMIFS([1]Sheet1!D:D,[1]Sheet1!A:A,A482,[1]Sheet1!E:E,"Mallas")</f>
        <v>0</v>
      </c>
      <c r="F482" s="2">
        <f>SUMIFS([1]Sheet1!D:D,[1]Sheet1!A:A,A482,[1]Sheet1!E:E,"Materia Prima")</f>
        <v>9734.4</v>
      </c>
      <c r="G482" s="2">
        <f t="shared" si="28"/>
        <v>0.41884615384615387</v>
      </c>
      <c r="H482">
        <f t="shared" si="29"/>
        <v>2</v>
      </c>
      <c r="I482" s="2">
        <f t="shared" si="30"/>
        <v>0.41884615384615387</v>
      </c>
      <c r="J482" s="2">
        <f t="shared" si="31"/>
        <v>0</v>
      </c>
    </row>
    <row r="483" spans="1:10" x14ac:dyDescent="0.3">
      <c r="A483">
        <v>1000017505</v>
      </c>
      <c r="B483" s="1">
        <f>VLOOKUP(A483,[1]Sheet1!A:B,2,FALSE)</f>
        <v>40568</v>
      </c>
      <c r="C483" s="2">
        <v>0</v>
      </c>
      <c r="D483" s="2">
        <f>SUMIFS([1]Sheet1!D:D,[1]Sheet1!A:A,A483,[1]Sheet1!E:E,"Figurado")</f>
        <v>292.8</v>
      </c>
      <c r="E483" s="2">
        <f>SUMIFS([1]Sheet1!D:D,[1]Sheet1!A:A,A483,[1]Sheet1!E:E,"Mallas")</f>
        <v>0</v>
      </c>
      <c r="F483" s="2">
        <f>SUMIFS([1]Sheet1!D:D,[1]Sheet1!A:A,A483,[1]Sheet1!E:E,"Materia Prima")</f>
        <v>0</v>
      </c>
      <c r="G483" s="2">
        <f t="shared" si="28"/>
        <v>0.11261538461538462</v>
      </c>
      <c r="H483">
        <f t="shared" si="29"/>
        <v>1</v>
      </c>
      <c r="I483" s="2">
        <f t="shared" si="30"/>
        <v>0.11261538461538462</v>
      </c>
      <c r="J483" s="2">
        <f t="shared" si="31"/>
        <v>0</v>
      </c>
    </row>
    <row r="484" spans="1:10" x14ac:dyDescent="0.3">
      <c r="A484">
        <v>1000017506</v>
      </c>
      <c r="B484" s="1">
        <f>VLOOKUP(A484,[1]Sheet1!A:B,2,FALSE)</f>
        <v>40568</v>
      </c>
      <c r="C484" s="2">
        <v>0</v>
      </c>
      <c r="D484" s="2">
        <f>SUMIFS([1]Sheet1!D:D,[1]Sheet1!A:A,A484,[1]Sheet1!E:E,"Figurado")</f>
        <v>1773.1</v>
      </c>
      <c r="E484" s="2">
        <f>SUMIFS([1]Sheet1!D:D,[1]Sheet1!A:A,A484,[1]Sheet1!E:E,"Mallas")</f>
        <v>0</v>
      </c>
      <c r="F484" s="2">
        <f>SUMIFS([1]Sheet1!D:D,[1]Sheet1!A:A,A484,[1]Sheet1!E:E,"Materia Prima")</f>
        <v>281.60000000000002</v>
      </c>
      <c r="G484" s="2">
        <f t="shared" si="28"/>
        <v>0.6819615384615384</v>
      </c>
      <c r="H484">
        <f t="shared" si="29"/>
        <v>2</v>
      </c>
      <c r="I484" s="2">
        <f t="shared" si="30"/>
        <v>0.6819615384615384</v>
      </c>
      <c r="J484" s="2">
        <f t="shared" si="31"/>
        <v>0</v>
      </c>
    </row>
    <row r="485" spans="1:10" x14ac:dyDescent="0.3">
      <c r="A485">
        <v>1000017507</v>
      </c>
      <c r="B485" s="1">
        <f>VLOOKUP(A485,[1]Sheet1!A:B,2,FALSE)</f>
        <v>40568</v>
      </c>
      <c r="C485" s="2">
        <v>0</v>
      </c>
      <c r="D485" s="2">
        <f>SUMIFS([1]Sheet1!D:D,[1]Sheet1!A:A,A485,[1]Sheet1!E:E,"Figurado")</f>
        <v>7441.2</v>
      </c>
      <c r="E485" s="2">
        <f>SUMIFS([1]Sheet1!D:D,[1]Sheet1!A:A,A485,[1]Sheet1!E:E,"Mallas")</f>
        <v>0</v>
      </c>
      <c r="F485" s="2">
        <f>SUMIFS([1]Sheet1!D:D,[1]Sheet1!A:A,A485,[1]Sheet1!E:E,"Materia Prima")</f>
        <v>0</v>
      </c>
      <c r="G485" s="2">
        <f t="shared" si="28"/>
        <v>2.8620000000000001</v>
      </c>
      <c r="H485">
        <f t="shared" si="29"/>
        <v>1</v>
      </c>
      <c r="I485" s="2">
        <f t="shared" si="30"/>
        <v>2.8620000000000001</v>
      </c>
      <c r="J485" s="2">
        <f t="shared" si="31"/>
        <v>0</v>
      </c>
    </row>
    <row r="486" spans="1:10" x14ac:dyDescent="0.3">
      <c r="A486">
        <v>1000017508</v>
      </c>
      <c r="B486" s="1">
        <f>VLOOKUP(A486,[1]Sheet1!A:B,2,FALSE)</f>
        <v>40568</v>
      </c>
      <c r="C486" s="2">
        <v>0</v>
      </c>
      <c r="D486" s="2">
        <f>SUMIFS([1]Sheet1!D:D,[1]Sheet1!A:A,A486,[1]Sheet1!E:E,"Figurado")</f>
        <v>4410.8</v>
      </c>
      <c r="E486" s="2">
        <f>SUMIFS([1]Sheet1!D:D,[1]Sheet1!A:A,A486,[1]Sheet1!E:E,"Mallas")</f>
        <v>0</v>
      </c>
      <c r="F486" s="2">
        <f>SUMIFS([1]Sheet1!D:D,[1]Sheet1!A:A,A486,[1]Sheet1!E:E,"Materia Prima")</f>
        <v>0</v>
      </c>
      <c r="G486" s="2">
        <f t="shared" si="28"/>
        <v>1.6964615384615385</v>
      </c>
      <c r="H486">
        <f t="shared" si="29"/>
        <v>1</v>
      </c>
      <c r="I486" s="2">
        <f t="shared" si="30"/>
        <v>1.6964615384615385</v>
      </c>
      <c r="J486" s="2">
        <f t="shared" si="31"/>
        <v>0</v>
      </c>
    </row>
    <row r="487" spans="1:10" x14ac:dyDescent="0.3">
      <c r="A487">
        <v>1000017509</v>
      </c>
      <c r="B487" s="1">
        <f>VLOOKUP(A487,[1]Sheet1!A:B,2,FALSE)</f>
        <v>40568</v>
      </c>
      <c r="C487" s="2">
        <v>0</v>
      </c>
      <c r="D487" s="2">
        <f>SUMIFS([1]Sheet1!D:D,[1]Sheet1!A:A,A487,[1]Sheet1!E:E,"Figurado")</f>
        <v>1014.3</v>
      </c>
      <c r="E487" s="2">
        <f>SUMIFS([1]Sheet1!D:D,[1]Sheet1!A:A,A487,[1]Sheet1!E:E,"Mallas")</f>
        <v>0</v>
      </c>
      <c r="F487" s="2">
        <f>SUMIFS([1]Sheet1!D:D,[1]Sheet1!A:A,A487,[1]Sheet1!E:E,"Materia Prima")</f>
        <v>0</v>
      </c>
      <c r="G487" s="2">
        <f t="shared" si="28"/>
        <v>0.39011538461538459</v>
      </c>
      <c r="H487">
        <f t="shared" si="29"/>
        <v>1</v>
      </c>
      <c r="I487" s="2">
        <f t="shared" si="30"/>
        <v>0.39011538461538459</v>
      </c>
      <c r="J487" s="2">
        <f t="shared" si="31"/>
        <v>0</v>
      </c>
    </row>
    <row r="488" spans="1:10" x14ac:dyDescent="0.3">
      <c r="A488">
        <v>1000017510</v>
      </c>
      <c r="B488" s="1">
        <f>VLOOKUP(A488,[1]Sheet1!A:B,2,FALSE)</f>
        <v>40568</v>
      </c>
      <c r="C488" s="2">
        <v>0</v>
      </c>
      <c r="D488" s="2">
        <f>SUMIFS([1]Sheet1!D:D,[1]Sheet1!A:A,A488,[1]Sheet1!E:E,"Figurado")</f>
        <v>6411</v>
      </c>
      <c r="E488" s="2">
        <f>SUMIFS([1]Sheet1!D:D,[1]Sheet1!A:A,A488,[1]Sheet1!E:E,"Mallas")</f>
        <v>0</v>
      </c>
      <c r="F488" s="2">
        <f>SUMIFS([1]Sheet1!D:D,[1]Sheet1!A:A,A488,[1]Sheet1!E:E,"Materia Prima")</f>
        <v>0</v>
      </c>
      <c r="G488" s="2">
        <f t="shared" si="28"/>
        <v>2.4657692307692307</v>
      </c>
      <c r="H488">
        <f t="shared" si="29"/>
        <v>1</v>
      </c>
      <c r="I488" s="2">
        <f t="shared" si="30"/>
        <v>2.4657692307692307</v>
      </c>
      <c r="J488" s="2">
        <f t="shared" si="31"/>
        <v>0</v>
      </c>
    </row>
    <row r="489" spans="1:10" x14ac:dyDescent="0.3">
      <c r="A489">
        <v>1000017513</v>
      </c>
      <c r="B489" s="1">
        <f>VLOOKUP(A489,[1]Sheet1!A:B,2,FALSE)</f>
        <v>40568</v>
      </c>
      <c r="C489" s="2">
        <v>0</v>
      </c>
      <c r="D489" s="2">
        <f>SUMIFS([1]Sheet1!D:D,[1]Sheet1!A:A,A489,[1]Sheet1!E:E,"Figurado")</f>
        <v>0</v>
      </c>
      <c r="E489" s="2">
        <f>SUMIFS([1]Sheet1!D:D,[1]Sheet1!A:A,A489,[1]Sheet1!E:E,"Mallas")</f>
        <v>0</v>
      </c>
      <c r="F489" s="2">
        <f>SUMIFS([1]Sheet1!D:D,[1]Sheet1!A:A,A489,[1]Sheet1!E:E,"Materia Prima")</f>
        <v>40</v>
      </c>
      <c r="G489" s="2">
        <f t="shared" si="28"/>
        <v>0</v>
      </c>
      <c r="H489">
        <f t="shared" si="29"/>
        <v>1</v>
      </c>
      <c r="I489" s="2">
        <f t="shared" si="30"/>
        <v>0</v>
      </c>
      <c r="J489" s="2">
        <f t="shared" si="31"/>
        <v>0</v>
      </c>
    </row>
    <row r="490" spans="1:10" x14ac:dyDescent="0.3">
      <c r="A490">
        <v>1000017564</v>
      </c>
      <c r="B490" s="1">
        <f>VLOOKUP(A490,[1]Sheet1!A:B,2,FALSE)</f>
        <v>40568</v>
      </c>
      <c r="C490" s="2">
        <v>0</v>
      </c>
      <c r="D490" s="2">
        <f>SUMIFS([1]Sheet1!D:D,[1]Sheet1!A:A,A490,[1]Sheet1!E:E,"Figurado")</f>
        <v>8978.7999999999993</v>
      </c>
      <c r="E490" s="2">
        <f>SUMIFS([1]Sheet1!D:D,[1]Sheet1!A:A,A490,[1]Sheet1!E:E,"Mallas")</f>
        <v>0</v>
      </c>
      <c r="F490" s="2">
        <f>SUMIFS([1]Sheet1!D:D,[1]Sheet1!A:A,A490,[1]Sheet1!E:E,"Materia Prima")</f>
        <v>0</v>
      </c>
      <c r="G490" s="2">
        <f t="shared" si="28"/>
        <v>3.4533846153846151</v>
      </c>
      <c r="H490">
        <f t="shared" si="29"/>
        <v>1</v>
      </c>
      <c r="I490" s="2">
        <f t="shared" si="30"/>
        <v>3.4533846153846151</v>
      </c>
      <c r="J490" s="2">
        <f t="shared" si="31"/>
        <v>0</v>
      </c>
    </row>
    <row r="491" spans="1:10" x14ac:dyDescent="0.3">
      <c r="A491">
        <v>1000017424</v>
      </c>
      <c r="B491" s="1">
        <f>VLOOKUP(A491,[1]Sheet1!A:B,2,FALSE)</f>
        <v>40565</v>
      </c>
      <c r="C491" s="2">
        <v>0</v>
      </c>
      <c r="D491" s="2">
        <f>SUMIFS([1]Sheet1!D:D,[1]Sheet1!A:A,A491,[1]Sheet1!E:E,"Figurado")</f>
        <v>11478.2</v>
      </c>
      <c r="E491" s="2">
        <f>SUMIFS([1]Sheet1!D:D,[1]Sheet1!A:A,A491,[1]Sheet1!E:E,"Mallas")</f>
        <v>0</v>
      </c>
      <c r="F491" s="2">
        <f>SUMIFS([1]Sheet1!D:D,[1]Sheet1!A:A,A491,[1]Sheet1!E:E,"Materia Prima")</f>
        <v>0</v>
      </c>
      <c r="G491" s="2">
        <f t="shared" si="28"/>
        <v>4.4146923076923077</v>
      </c>
      <c r="H491">
        <f t="shared" si="29"/>
        <v>1</v>
      </c>
      <c r="I491" s="2">
        <f t="shared" si="30"/>
        <v>4.4146923076923077</v>
      </c>
      <c r="J491" s="2">
        <f t="shared" si="31"/>
        <v>0</v>
      </c>
    </row>
    <row r="492" spans="1:10" x14ac:dyDescent="0.3">
      <c r="A492">
        <v>1000017425</v>
      </c>
      <c r="B492" s="1">
        <f>VLOOKUP(A492,[1]Sheet1!A:B,2,FALSE)</f>
        <v>40565</v>
      </c>
      <c r="C492" s="2">
        <v>0</v>
      </c>
      <c r="D492" s="2">
        <f>SUMIFS([1]Sheet1!D:D,[1]Sheet1!A:A,A492,[1]Sheet1!E:E,"Figurado")</f>
        <v>0</v>
      </c>
      <c r="E492" s="2">
        <f>SUMIFS([1]Sheet1!D:D,[1]Sheet1!A:A,A492,[1]Sheet1!E:E,"Mallas")</f>
        <v>0</v>
      </c>
      <c r="F492" s="2">
        <f>SUMIFS([1]Sheet1!D:D,[1]Sheet1!A:A,A492,[1]Sheet1!E:E,"Materia Prima")</f>
        <v>744.12399999999991</v>
      </c>
      <c r="G492" s="2">
        <f t="shared" si="28"/>
        <v>0</v>
      </c>
      <c r="H492">
        <f t="shared" si="29"/>
        <v>1</v>
      </c>
      <c r="I492" s="2">
        <f t="shared" si="30"/>
        <v>0</v>
      </c>
      <c r="J492" s="2">
        <f t="shared" si="31"/>
        <v>0</v>
      </c>
    </row>
    <row r="493" spans="1:10" x14ac:dyDescent="0.3">
      <c r="A493">
        <v>1000017426</v>
      </c>
      <c r="B493" s="1">
        <f>VLOOKUP(A493,[1]Sheet1!A:B,2,FALSE)</f>
        <v>40565</v>
      </c>
      <c r="C493" s="2">
        <v>0</v>
      </c>
      <c r="D493" s="2">
        <f>SUMIFS([1]Sheet1!D:D,[1]Sheet1!A:A,A493,[1]Sheet1!E:E,"Figurado")</f>
        <v>0</v>
      </c>
      <c r="E493" s="2">
        <f>SUMIFS([1]Sheet1!D:D,[1]Sheet1!A:A,A493,[1]Sheet1!E:E,"Mallas")</f>
        <v>0</v>
      </c>
      <c r="F493" s="2">
        <f>SUMIFS([1]Sheet1!D:D,[1]Sheet1!A:A,A493,[1]Sheet1!E:E,"Materia Prima")</f>
        <v>658.31999999999994</v>
      </c>
      <c r="G493" s="2">
        <f t="shared" si="28"/>
        <v>0</v>
      </c>
      <c r="H493">
        <f t="shared" si="29"/>
        <v>1</v>
      </c>
      <c r="I493" s="2">
        <f t="shared" si="30"/>
        <v>0</v>
      </c>
      <c r="J493" s="2">
        <f t="shared" si="31"/>
        <v>0</v>
      </c>
    </row>
    <row r="494" spans="1:10" x14ac:dyDescent="0.3">
      <c r="A494">
        <v>1000017427</v>
      </c>
      <c r="B494" s="1">
        <f>VLOOKUP(A494,[1]Sheet1!A:B,2,FALSE)</f>
        <v>40565</v>
      </c>
      <c r="C494" s="2">
        <v>0</v>
      </c>
      <c r="D494" s="2">
        <f>SUMIFS([1]Sheet1!D:D,[1]Sheet1!A:A,A494,[1]Sheet1!E:E,"Figurado")</f>
        <v>0</v>
      </c>
      <c r="E494" s="2">
        <f>SUMIFS([1]Sheet1!D:D,[1]Sheet1!A:A,A494,[1]Sheet1!E:E,"Mallas")</f>
        <v>0</v>
      </c>
      <c r="F494" s="2">
        <f>SUMIFS([1]Sheet1!D:D,[1]Sheet1!A:A,A494,[1]Sheet1!E:E,"Materia Prima")</f>
        <v>111.4</v>
      </c>
      <c r="G494" s="2">
        <f t="shared" si="28"/>
        <v>0</v>
      </c>
      <c r="H494">
        <f t="shared" si="29"/>
        <v>1</v>
      </c>
      <c r="I494" s="2">
        <f t="shared" si="30"/>
        <v>0</v>
      </c>
      <c r="J494" s="2">
        <f t="shared" si="31"/>
        <v>0</v>
      </c>
    </row>
    <row r="495" spans="1:10" x14ac:dyDescent="0.3">
      <c r="A495">
        <v>1000017428</v>
      </c>
      <c r="B495" s="1">
        <f>VLOOKUP(A495,[1]Sheet1!A:B,2,FALSE)</f>
        <v>40565</v>
      </c>
      <c r="C495" s="2">
        <v>0</v>
      </c>
      <c r="D495" s="2">
        <f>SUMIFS([1]Sheet1!D:D,[1]Sheet1!A:A,A495,[1]Sheet1!E:E,"Figurado")</f>
        <v>0</v>
      </c>
      <c r="E495" s="2">
        <f>SUMIFS([1]Sheet1!D:D,[1]Sheet1!A:A,A495,[1]Sheet1!E:E,"Mallas")</f>
        <v>71.06</v>
      </c>
      <c r="F495" s="2">
        <f>SUMIFS([1]Sheet1!D:D,[1]Sheet1!A:A,A495,[1]Sheet1!E:E,"Materia Prima")</f>
        <v>0</v>
      </c>
      <c r="G495" s="2">
        <f t="shared" si="28"/>
        <v>8.8825000000000001E-2</v>
      </c>
      <c r="H495">
        <f t="shared" si="29"/>
        <v>1</v>
      </c>
      <c r="I495" s="2">
        <f t="shared" si="30"/>
        <v>0</v>
      </c>
      <c r="J495" s="2">
        <f t="shared" si="31"/>
        <v>8.8825000000000001E-2</v>
      </c>
    </row>
    <row r="496" spans="1:10" x14ac:dyDescent="0.3">
      <c r="A496">
        <v>1000017439</v>
      </c>
      <c r="B496" s="1">
        <f>VLOOKUP(A496,[1]Sheet1!A:B,2,FALSE)</f>
        <v>40566</v>
      </c>
      <c r="C496" s="2">
        <v>0</v>
      </c>
      <c r="D496" s="2">
        <f>SUMIFS([1]Sheet1!D:D,[1]Sheet1!A:A,A496,[1]Sheet1!E:E,"Figurado")</f>
        <v>18970.900000000001</v>
      </c>
      <c r="E496" s="2">
        <f>SUMIFS([1]Sheet1!D:D,[1]Sheet1!A:A,A496,[1]Sheet1!E:E,"Mallas")</f>
        <v>0</v>
      </c>
      <c r="F496" s="2">
        <f>SUMIFS([1]Sheet1!D:D,[1]Sheet1!A:A,A496,[1]Sheet1!E:E,"Materia Prima")</f>
        <v>3559.6000000000004</v>
      </c>
      <c r="G496" s="2">
        <f t="shared" si="28"/>
        <v>7.2965000000000009</v>
      </c>
      <c r="H496">
        <f t="shared" si="29"/>
        <v>2</v>
      </c>
      <c r="I496" s="2">
        <f t="shared" si="30"/>
        <v>7.2965000000000009</v>
      </c>
      <c r="J496" s="2">
        <f t="shared" si="31"/>
        <v>0</v>
      </c>
    </row>
    <row r="497" spans="1:10" x14ac:dyDescent="0.3">
      <c r="A497">
        <v>1000017452</v>
      </c>
      <c r="B497" s="1">
        <f>VLOOKUP(A497,[1]Sheet1!A:B,2,FALSE)</f>
        <v>40567</v>
      </c>
      <c r="C497" s="2">
        <v>0</v>
      </c>
      <c r="D497" s="2">
        <f>SUMIFS([1]Sheet1!D:D,[1]Sheet1!A:A,A497,[1]Sheet1!E:E,"Figurado")</f>
        <v>0</v>
      </c>
      <c r="E497" s="2">
        <f>SUMIFS([1]Sheet1!D:D,[1]Sheet1!A:A,A497,[1]Sheet1!E:E,"Mallas")</f>
        <v>3450</v>
      </c>
      <c r="F497" s="2">
        <f>SUMIFS([1]Sheet1!D:D,[1]Sheet1!A:A,A497,[1]Sheet1!E:E,"Materia Prima")</f>
        <v>0</v>
      </c>
      <c r="G497" s="2">
        <f t="shared" si="28"/>
        <v>4.3125</v>
      </c>
      <c r="H497">
        <f t="shared" si="29"/>
        <v>1</v>
      </c>
      <c r="I497" s="2">
        <f t="shared" si="30"/>
        <v>0</v>
      </c>
      <c r="J497" s="2">
        <f t="shared" si="31"/>
        <v>4.3125</v>
      </c>
    </row>
    <row r="498" spans="1:10" x14ac:dyDescent="0.3">
      <c r="A498">
        <v>1000017453</v>
      </c>
      <c r="B498" s="1">
        <f>VLOOKUP(A498,[1]Sheet1!A:B,2,FALSE)</f>
        <v>40567</v>
      </c>
      <c r="C498" s="2">
        <v>0</v>
      </c>
      <c r="D498" s="2">
        <f>SUMIFS([1]Sheet1!D:D,[1]Sheet1!A:A,A498,[1]Sheet1!E:E,"Figurado")</f>
        <v>0</v>
      </c>
      <c r="E498" s="2">
        <f>SUMIFS([1]Sheet1!D:D,[1]Sheet1!A:A,A498,[1]Sheet1!E:E,"Mallas")</f>
        <v>1729</v>
      </c>
      <c r="F498" s="2">
        <f>SUMIFS([1]Sheet1!D:D,[1]Sheet1!A:A,A498,[1]Sheet1!E:E,"Materia Prima")</f>
        <v>0</v>
      </c>
      <c r="G498" s="2">
        <f t="shared" si="28"/>
        <v>2.1612499999999999</v>
      </c>
      <c r="H498">
        <f t="shared" si="29"/>
        <v>1</v>
      </c>
      <c r="I498" s="2">
        <f t="shared" si="30"/>
        <v>0</v>
      </c>
      <c r="J498" s="2">
        <f t="shared" si="31"/>
        <v>2.1612499999999999</v>
      </c>
    </row>
    <row r="499" spans="1:10" x14ac:dyDescent="0.3">
      <c r="A499">
        <v>1000017454</v>
      </c>
      <c r="B499" s="1">
        <f>VLOOKUP(A499,[1]Sheet1!A:B,2,FALSE)</f>
        <v>40567</v>
      </c>
      <c r="C499" s="2">
        <v>0</v>
      </c>
      <c r="D499" s="2">
        <f>SUMIFS([1]Sheet1!D:D,[1]Sheet1!A:A,A499,[1]Sheet1!E:E,"Figurado")</f>
        <v>0</v>
      </c>
      <c r="E499" s="2">
        <f>SUMIFS([1]Sheet1!D:D,[1]Sheet1!A:A,A499,[1]Sheet1!E:E,"Mallas")</f>
        <v>1729</v>
      </c>
      <c r="F499" s="2">
        <f>SUMIFS([1]Sheet1!D:D,[1]Sheet1!A:A,A499,[1]Sheet1!E:E,"Materia Prima")</f>
        <v>0</v>
      </c>
      <c r="G499" s="2">
        <f t="shared" si="28"/>
        <v>2.1612499999999999</v>
      </c>
      <c r="H499">
        <f t="shared" si="29"/>
        <v>1</v>
      </c>
      <c r="I499" s="2">
        <f t="shared" si="30"/>
        <v>0</v>
      </c>
      <c r="J499" s="2">
        <f t="shared" si="31"/>
        <v>2.1612499999999999</v>
      </c>
    </row>
    <row r="500" spans="1:10" x14ac:dyDescent="0.3">
      <c r="A500">
        <v>1000017455</v>
      </c>
      <c r="B500" s="1">
        <f>VLOOKUP(A500,[1]Sheet1!A:B,2,FALSE)</f>
        <v>40567</v>
      </c>
      <c r="C500" s="2">
        <v>0</v>
      </c>
      <c r="D500" s="2">
        <f>SUMIFS([1]Sheet1!D:D,[1]Sheet1!A:A,A500,[1]Sheet1!E:E,"Figurado")</f>
        <v>0</v>
      </c>
      <c r="E500" s="2">
        <f>SUMIFS([1]Sheet1!D:D,[1]Sheet1!A:A,A500,[1]Sheet1!E:E,"Mallas")</f>
        <v>0</v>
      </c>
      <c r="F500" s="2">
        <f>SUMIFS([1]Sheet1!D:D,[1]Sheet1!A:A,A500,[1]Sheet1!E:E,"Materia Prima")</f>
        <v>47.4</v>
      </c>
      <c r="G500" s="2">
        <f t="shared" si="28"/>
        <v>0</v>
      </c>
      <c r="H500">
        <f t="shared" si="29"/>
        <v>1</v>
      </c>
      <c r="I500" s="2">
        <f t="shared" si="30"/>
        <v>0</v>
      </c>
      <c r="J500" s="2">
        <f t="shared" si="31"/>
        <v>0</v>
      </c>
    </row>
    <row r="501" spans="1:10" x14ac:dyDescent="0.3">
      <c r="A501">
        <v>1000017456</v>
      </c>
      <c r="B501" s="1">
        <f>VLOOKUP(A501,[1]Sheet1!A:B,2,FALSE)</f>
        <v>40567</v>
      </c>
      <c r="C501" s="2">
        <v>0</v>
      </c>
      <c r="D501" s="2">
        <f>SUMIFS([1]Sheet1!D:D,[1]Sheet1!A:A,A501,[1]Sheet1!E:E,"Figurado")</f>
        <v>0</v>
      </c>
      <c r="E501" s="2">
        <f>SUMIFS([1]Sheet1!D:D,[1]Sheet1!A:A,A501,[1]Sheet1!E:E,"Mallas")</f>
        <v>0</v>
      </c>
      <c r="F501" s="2">
        <f>SUMIFS([1]Sheet1!D:D,[1]Sheet1!A:A,A501,[1]Sheet1!E:E,"Materia Prima")</f>
        <v>23.7</v>
      </c>
      <c r="G501" s="2">
        <f t="shared" si="28"/>
        <v>0</v>
      </c>
      <c r="H501">
        <f t="shared" si="29"/>
        <v>1</v>
      </c>
      <c r="I501" s="2">
        <f t="shared" si="30"/>
        <v>0</v>
      </c>
      <c r="J501" s="2">
        <f t="shared" si="31"/>
        <v>0</v>
      </c>
    </row>
    <row r="502" spans="1:10" x14ac:dyDescent="0.3">
      <c r="A502">
        <v>1000017457</v>
      </c>
      <c r="B502" s="1">
        <f>VLOOKUP(A502,[1]Sheet1!A:B,2,FALSE)</f>
        <v>40567</v>
      </c>
      <c r="C502" s="2">
        <v>0</v>
      </c>
      <c r="D502" s="2">
        <f>SUMIFS([1]Sheet1!D:D,[1]Sheet1!A:A,A502,[1]Sheet1!E:E,"Figurado")</f>
        <v>0</v>
      </c>
      <c r="E502" s="2">
        <f>SUMIFS([1]Sheet1!D:D,[1]Sheet1!A:A,A502,[1]Sheet1!E:E,"Mallas")</f>
        <v>0</v>
      </c>
      <c r="F502" s="2">
        <f>SUMIFS([1]Sheet1!D:D,[1]Sheet1!A:A,A502,[1]Sheet1!E:E,"Materia Prima")</f>
        <v>23.7</v>
      </c>
      <c r="G502" s="2">
        <f t="shared" si="28"/>
        <v>0</v>
      </c>
      <c r="H502">
        <f t="shared" si="29"/>
        <v>1</v>
      </c>
      <c r="I502" s="2">
        <f t="shared" si="30"/>
        <v>0</v>
      </c>
      <c r="J502" s="2">
        <f t="shared" si="31"/>
        <v>0</v>
      </c>
    </row>
    <row r="503" spans="1:10" x14ac:dyDescent="0.3">
      <c r="A503">
        <v>1000017458</v>
      </c>
      <c r="B503" s="1">
        <f>VLOOKUP(A503,[1]Sheet1!A:B,2,FALSE)</f>
        <v>40567</v>
      </c>
      <c r="C503" s="2">
        <v>0</v>
      </c>
      <c r="D503" s="2">
        <f>SUMIFS([1]Sheet1!D:D,[1]Sheet1!A:A,A503,[1]Sheet1!E:E,"Figurado")</f>
        <v>0</v>
      </c>
      <c r="E503" s="2">
        <f>SUMIFS([1]Sheet1!D:D,[1]Sheet1!A:A,A503,[1]Sheet1!E:E,"Mallas")</f>
        <v>0</v>
      </c>
      <c r="F503" s="2">
        <f>SUMIFS([1]Sheet1!D:D,[1]Sheet1!A:A,A503,[1]Sheet1!E:E,"Materia Prima")</f>
        <v>1500</v>
      </c>
      <c r="G503" s="2">
        <f t="shared" si="28"/>
        <v>0</v>
      </c>
      <c r="H503">
        <f t="shared" si="29"/>
        <v>1</v>
      </c>
      <c r="I503" s="2">
        <f t="shared" si="30"/>
        <v>0</v>
      </c>
      <c r="J503" s="2">
        <f t="shared" si="31"/>
        <v>0</v>
      </c>
    </row>
    <row r="504" spans="1:10" x14ac:dyDescent="0.3">
      <c r="A504">
        <v>1000017467</v>
      </c>
      <c r="B504" s="1">
        <f>VLOOKUP(A504,[1]Sheet1!A:B,2,FALSE)</f>
        <v>40567</v>
      </c>
      <c r="C504" s="2">
        <v>0</v>
      </c>
      <c r="D504" s="2">
        <f>SUMIFS([1]Sheet1!D:D,[1]Sheet1!A:A,A504,[1]Sheet1!E:E,"Figurado")</f>
        <v>0</v>
      </c>
      <c r="E504" s="2">
        <f>SUMIFS([1]Sheet1!D:D,[1]Sheet1!A:A,A504,[1]Sheet1!E:E,"Mallas")</f>
        <v>8871.75</v>
      </c>
      <c r="F504" s="2">
        <f>SUMIFS([1]Sheet1!D:D,[1]Sheet1!A:A,A504,[1]Sheet1!E:E,"Materia Prima")</f>
        <v>0</v>
      </c>
      <c r="G504" s="2">
        <f t="shared" si="28"/>
        <v>11.0896875</v>
      </c>
      <c r="H504">
        <f t="shared" si="29"/>
        <v>1</v>
      </c>
      <c r="I504" s="2">
        <f t="shared" si="30"/>
        <v>0</v>
      </c>
      <c r="J504" s="2">
        <f t="shared" si="31"/>
        <v>11.0896875</v>
      </c>
    </row>
    <row r="505" spans="1:10" x14ac:dyDescent="0.3">
      <c r="A505">
        <v>1000017469</v>
      </c>
      <c r="B505" s="1">
        <f>VLOOKUP(A505,[1]Sheet1!A:B,2,FALSE)</f>
        <v>40567</v>
      </c>
      <c r="C505" s="2">
        <v>0</v>
      </c>
      <c r="D505" s="2">
        <f>SUMIFS([1]Sheet1!D:D,[1]Sheet1!A:A,A505,[1]Sheet1!E:E,"Figurado")</f>
        <v>0</v>
      </c>
      <c r="E505" s="2">
        <f>SUMIFS([1]Sheet1!D:D,[1]Sheet1!A:A,A505,[1]Sheet1!E:E,"Mallas")</f>
        <v>0</v>
      </c>
      <c r="F505" s="2">
        <f>SUMIFS([1]Sheet1!D:D,[1]Sheet1!A:A,A505,[1]Sheet1!E:E,"Materia Prima")</f>
        <v>324</v>
      </c>
      <c r="G505" s="2">
        <f t="shared" si="28"/>
        <v>0</v>
      </c>
      <c r="H505">
        <f t="shared" si="29"/>
        <v>1</v>
      </c>
      <c r="I505" s="2">
        <f t="shared" si="30"/>
        <v>0</v>
      </c>
      <c r="J505" s="2">
        <f t="shared" si="31"/>
        <v>0</v>
      </c>
    </row>
    <row r="506" spans="1:10" x14ac:dyDescent="0.3">
      <c r="A506">
        <v>1000017470</v>
      </c>
      <c r="B506" s="1">
        <f>VLOOKUP(A506,[1]Sheet1!A:B,2,FALSE)</f>
        <v>40567</v>
      </c>
      <c r="C506" s="2">
        <v>0</v>
      </c>
      <c r="D506" s="2">
        <f>SUMIFS([1]Sheet1!D:D,[1]Sheet1!A:A,A506,[1]Sheet1!E:E,"Figurado")</f>
        <v>0</v>
      </c>
      <c r="E506" s="2">
        <f>SUMIFS([1]Sheet1!D:D,[1]Sheet1!A:A,A506,[1]Sheet1!E:E,"Mallas")</f>
        <v>1809.6</v>
      </c>
      <c r="F506" s="2">
        <f>SUMIFS([1]Sheet1!D:D,[1]Sheet1!A:A,A506,[1]Sheet1!E:E,"Materia Prima")</f>
        <v>0</v>
      </c>
      <c r="G506" s="2">
        <f t="shared" si="28"/>
        <v>2.262</v>
      </c>
      <c r="H506">
        <f t="shared" si="29"/>
        <v>1</v>
      </c>
      <c r="I506" s="2">
        <f t="shared" si="30"/>
        <v>0</v>
      </c>
      <c r="J506" s="2">
        <f t="shared" si="31"/>
        <v>2.262</v>
      </c>
    </row>
    <row r="507" spans="1:10" x14ac:dyDescent="0.3">
      <c r="A507">
        <v>1000017478</v>
      </c>
      <c r="B507" s="1">
        <f>VLOOKUP(A507,[1]Sheet1!A:B,2,FALSE)</f>
        <v>40567</v>
      </c>
      <c r="C507" s="2">
        <v>0</v>
      </c>
      <c r="D507" s="2">
        <f>SUMIFS([1]Sheet1!D:D,[1]Sheet1!A:A,A507,[1]Sheet1!E:E,"Figurado")</f>
        <v>0</v>
      </c>
      <c r="E507" s="2">
        <f>SUMIFS([1]Sheet1!D:D,[1]Sheet1!A:A,A507,[1]Sheet1!E:E,"Mallas")</f>
        <v>1388.56</v>
      </c>
      <c r="F507" s="2">
        <f>SUMIFS([1]Sheet1!D:D,[1]Sheet1!A:A,A507,[1]Sheet1!E:E,"Materia Prima")</f>
        <v>0</v>
      </c>
      <c r="G507" s="2">
        <f t="shared" si="28"/>
        <v>1.7357</v>
      </c>
      <c r="H507">
        <f t="shared" si="29"/>
        <v>1</v>
      </c>
      <c r="I507" s="2">
        <f t="shared" si="30"/>
        <v>0</v>
      </c>
      <c r="J507" s="2">
        <f t="shared" si="31"/>
        <v>1.7357</v>
      </c>
    </row>
    <row r="508" spans="1:10" x14ac:dyDescent="0.3">
      <c r="A508">
        <v>1000017485</v>
      </c>
      <c r="B508" s="1">
        <f>VLOOKUP(A508,[1]Sheet1!A:B,2,FALSE)</f>
        <v>40567</v>
      </c>
      <c r="C508" s="2">
        <v>0</v>
      </c>
      <c r="D508" s="2">
        <f>SUMIFS([1]Sheet1!D:D,[1]Sheet1!A:A,A508,[1]Sheet1!E:E,"Figurado")</f>
        <v>0</v>
      </c>
      <c r="E508" s="2">
        <f>SUMIFS([1]Sheet1!D:D,[1]Sheet1!A:A,A508,[1]Sheet1!E:E,"Mallas")</f>
        <v>22895</v>
      </c>
      <c r="F508" s="2">
        <f>SUMIFS([1]Sheet1!D:D,[1]Sheet1!A:A,A508,[1]Sheet1!E:E,"Materia Prima")</f>
        <v>0</v>
      </c>
      <c r="G508" s="2">
        <f t="shared" si="28"/>
        <v>28.618749999999999</v>
      </c>
      <c r="H508">
        <f t="shared" si="29"/>
        <v>1</v>
      </c>
      <c r="I508" s="2">
        <f t="shared" si="30"/>
        <v>0</v>
      </c>
      <c r="J508" s="2">
        <f t="shared" si="31"/>
        <v>28.618749999999999</v>
      </c>
    </row>
    <row r="509" spans="1:10" x14ac:dyDescent="0.3">
      <c r="A509">
        <v>1000017490</v>
      </c>
      <c r="B509" s="1">
        <f>VLOOKUP(A509,[1]Sheet1!A:B,2,FALSE)</f>
        <v>40568</v>
      </c>
      <c r="C509" s="2">
        <v>0</v>
      </c>
      <c r="D509" s="2">
        <f>SUMIFS([1]Sheet1!D:D,[1]Sheet1!A:A,A509,[1]Sheet1!E:E,"Figurado")</f>
        <v>0</v>
      </c>
      <c r="E509" s="2">
        <f>SUMIFS([1]Sheet1!D:D,[1]Sheet1!A:A,A509,[1]Sheet1!E:E,"Mallas")</f>
        <v>0</v>
      </c>
      <c r="F509" s="2">
        <f>SUMIFS([1]Sheet1!D:D,[1]Sheet1!A:A,A509,[1]Sheet1!E:E,"Materia Prima")</f>
        <v>100</v>
      </c>
      <c r="G509" s="2">
        <f t="shared" si="28"/>
        <v>0</v>
      </c>
      <c r="H509">
        <f t="shared" si="29"/>
        <v>1</v>
      </c>
      <c r="I509" s="2">
        <f t="shared" si="30"/>
        <v>0</v>
      </c>
      <c r="J509" s="2">
        <f t="shared" si="31"/>
        <v>0</v>
      </c>
    </row>
    <row r="510" spans="1:10" x14ac:dyDescent="0.3">
      <c r="A510">
        <v>1000017491</v>
      </c>
      <c r="B510" s="1">
        <f>VLOOKUP(A510,[1]Sheet1!A:B,2,FALSE)</f>
        <v>40568</v>
      </c>
      <c r="C510" s="2">
        <v>0</v>
      </c>
      <c r="D510" s="2">
        <f>SUMIFS([1]Sheet1!D:D,[1]Sheet1!A:A,A510,[1]Sheet1!E:E,"Figurado")</f>
        <v>0</v>
      </c>
      <c r="E510" s="2">
        <f>SUMIFS([1]Sheet1!D:D,[1]Sheet1!A:A,A510,[1]Sheet1!E:E,"Mallas")</f>
        <v>0</v>
      </c>
      <c r="F510" s="2">
        <f>SUMIFS([1]Sheet1!D:D,[1]Sheet1!A:A,A510,[1]Sheet1!E:E,"Materia Prima")</f>
        <v>120</v>
      </c>
      <c r="G510" s="2">
        <f t="shared" si="28"/>
        <v>0</v>
      </c>
      <c r="H510">
        <f t="shared" si="29"/>
        <v>1</v>
      </c>
      <c r="I510" s="2">
        <f t="shared" si="30"/>
        <v>0</v>
      </c>
      <c r="J510" s="2">
        <f t="shared" si="31"/>
        <v>0</v>
      </c>
    </row>
    <row r="511" spans="1:10" x14ac:dyDescent="0.3">
      <c r="A511">
        <v>1000017492</v>
      </c>
      <c r="B511" s="1">
        <f>VLOOKUP(A511,[1]Sheet1!A:B,2,FALSE)</f>
        <v>40568</v>
      </c>
      <c r="C511" s="2">
        <v>0</v>
      </c>
      <c r="D511" s="2">
        <f>SUMIFS([1]Sheet1!D:D,[1]Sheet1!A:A,A511,[1]Sheet1!E:E,"Figurado")</f>
        <v>0</v>
      </c>
      <c r="E511" s="2">
        <f>SUMIFS([1]Sheet1!D:D,[1]Sheet1!A:A,A511,[1]Sheet1!E:E,"Mallas")</f>
        <v>4446</v>
      </c>
      <c r="F511" s="2">
        <f>SUMIFS([1]Sheet1!D:D,[1]Sheet1!A:A,A511,[1]Sheet1!E:E,"Materia Prima")</f>
        <v>0</v>
      </c>
      <c r="G511" s="2">
        <f t="shared" si="28"/>
        <v>5.5575000000000001</v>
      </c>
      <c r="H511">
        <f t="shared" si="29"/>
        <v>1</v>
      </c>
      <c r="I511" s="2">
        <f t="shared" si="30"/>
        <v>0</v>
      </c>
      <c r="J511" s="2">
        <f t="shared" si="31"/>
        <v>5.5575000000000001</v>
      </c>
    </row>
    <row r="512" spans="1:10" x14ac:dyDescent="0.3">
      <c r="A512">
        <v>1000017504</v>
      </c>
      <c r="B512" s="1">
        <f>VLOOKUP(A512,[1]Sheet1!A:B,2,FALSE)</f>
        <v>40568</v>
      </c>
      <c r="C512" s="2">
        <v>0</v>
      </c>
      <c r="D512" s="2">
        <f>SUMIFS([1]Sheet1!D:D,[1]Sheet1!A:A,A512,[1]Sheet1!E:E,"Figurado")</f>
        <v>0</v>
      </c>
      <c r="E512" s="2">
        <f>SUMIFS([1]Sheet1!D:D,[1]Sheet1!A:A,A512,[1]Sheet1!E:E,"Mallas")</f>
        <v>0</v>
      </c>
      <c r="F512" s="2">
        <f>SUMIFS([1]Sheet1!D:D,[1]Sheet1!A:A,A512,[1]Sheet1!E:E,"Materia Prima")</f>
        <v>1000</v>
      </c>
      <c r="G512" s="2">
        <f t="shared" si="28"/>
        <v>0</v>
      </c>
      <c r="H512">
        <f t="shared" si="29"/>
        <v>1</v>
      </c>
      <c r="I512" s="2">
        <f t="shared" si="30"/>
        <v>0</v>
      </c>
      <c r="J512" s="2">
        <f t="shared" si="31"/>
        <v>0</v>
      </c>
    </row>
    <row r="513" spans="1:10" x14ac:dyDescent="0.3">
      <c r="A513">
        <v>1000017511</v>
      </c>
      <c r="B513" s="1">
        <f>VLOOKUP(A513,[1]Sheet1!A:B,2,FALSE)</f>
        <v>40568</v>
      </c>
      <c r="C513" s="2">
        <v>0</v>
      </c>
      <c r="D513" s="2">
        <f>SUMIFS([1]Sheet1!D:D,[1]Sheet1!A:A,A513,[1]Sheet1!E:E,"Figurado")</f>
        <v>0</v>
      </c>
      <c r="E513" s="2">
        <f>SUMIFS([1]Sheet1!D:D,[1]Sheet1!A:A,A513,[1]Sheet1!E:E,"Mallas")</f>
        <v>0</v>
      </c>
      <c r="F513" s="2">
        <f>SUMIFS([1]Sheet1!D:D,[1]Sheet1!A:A,A513,[1]Sheet1!E:E,"Materia Prima")</f>
        <v>31802</v>
      </c>
      <c r="G513" s="2">
        <f t="shared" si="28"/>
        <v>0</v>
      </c>
      <c r="H513">
        <f t="shared" si="29"/>
        <v>1</v>
      </c>
      <c r="I513" s="2">
        <f t="shared" si="30"/>
        <v>0</v>
      </c>
      <c r="J513" s="2">
        <f t="shared" si="31"/>
        <v>0</v>
      </c>
    </row>
    <row r="514" spans="1:10" x14ac:dyDescent="0.3">
      <c r="A514">
        <v>1000017512</v>
      </c>
      <c r="B514" s="1">
        <f>VLOOKUP(A514,[1]Sheet1!A:B,2,FALSE)</f>
        <v>40568</v>
      </c>
      <c r="C514" s="2">
        <v>0</v>
      </c>
      <c r="D514" s="2">
        <f>SUMIFS([1]Sheet1!D:D,[1]Sheet1!A:A,A514,[1]Sheet1!E:E,"Figurado")</f>
        <v>0</v>
      </c>
      <c r="E514" s="2">
        <f>SUMIFS([1]Sheet1!D:D,[1]Sheet1!A:A,A514,[1]Sheet1!E:E,"Mallas")</f>
        <v>0</v>
      </c>
      <c r="F514" s="2">
        <f>SUMIFS([1]Sheet1!D:D,[1]Sheet1!A:A,A514,[1]Sheet1!E:E,"Materia Prima")</f>
        <v>31564</v>
      </c>
      <c r="G514" s="2">
        <f t="shared" si="28"/>
        <v>0</v>
      </c>
      <c r="H514">
        <f t="shared" si="29"/>
        <v>1</v>
      </c>
      <c r="I514" s="2">
        <f t="shared" si="30"/>
        <v>0</v>
      </c>
      <c r="J514" s="2">
        <f t="shared" si="31"/>
        <v>0</v>
      </c>
    </row>
    <row r="515" spans="1:10" x14ac:dyDescent="0.3">
      <c r="A515">
        <v>1000017514</v>
      </c>
      <c r="B515" s="1">
        <f>VLOOKUP(A515,[1]Sheet1!A:B,2,FALSE)</f>
        <v>40568</v>
      </c>
      <c r="C515" s="2">
        <v>0</v>
      </c>
      <c r="D515" s="2">
        <f>SUMIFS([1]Sheet1!D:D,[1]Sheet1!A:A,A515,[1]Sheet1!E:E,"Figurado")</f>
        <v>1190.4000000000001</v>
      </c>
      <c r="E515" s="2">
        <f>SUMIFS([1]Sheet1!D:D,[1]Sheet1!A:A,A515,[1]Sheet1!E:E,"Mallas")</f>
        <v>0</v>
      </c>
      <c r="F515" s="2">
        <f>SUMIFS([1]Sheet1!D:D,[1]Sheet1!A:A,A515,[1]Sheet1!E:E,"Materia Prima")</f>
        <v>0</v>
      </c>
      <c r="G515" s="2">
        <f t="shared" ref="G515:G578" si="32">(D515/2600)+(E515/800)</f>
        <v>0.4578461538461539</v>
      </c>
      <c r="H515">
        <f t="shared" ref="H515:H578" si="33">(IF(D515&gt;0,1,0) + IF(E515&gt;0,1,0) + IF(F515&gt;0,1,0))</f>
        <v>1</v>
      </c>
      <c r="I515" s="2">
        <f t="shared" ref="I515:I578" si="34">D515/2600</f>
        <v>0.4578461538461539</v>
      </c>
      <c r="J515" s="2">
        <f t="shared" ref="J515:J578" si="35">E515/800</f>
        <v>0</v>
      </c>
    </row>
    <row r="516" spans="1:10" x14ac:dyDescent="0.3">
      <c r="A516">
        <v>1000017515</v>
      </c>
      <c r="B516" s="1">
        <f>VLOOKUP(A516,[1]Sheet1!A:B,2,FALSE)</f>
        <v>40568</v>
      </c>
      <c r="C516" s="2">
        <v>0</v>
      </c>
      <c r="D516" s="2">
        <f>SUMIFS([1]Sheet1!D:D,[1]Sheet1!A:A,A516,[1]Sheet1!E:E,"Figurado")</f>
        <v>0</v>
      </c>
      <c r="E516" s="2">
        <f>SUMIFS([1]Sheet1!D:D,[1]Sheet1!A:A,A516,[1]Sheet1!E:E,"Mallas")</f>
        <v>0</v>
      </c>
      <c r="F516" s="2">
        <f>SUMIFS([1]Sheet1!D:D,[1]Sheet1!A:A,A516,[1]Sheet1!E:E,"Materia Prima")</f>
        <v>400</v>
      </c>
      <c r="G516" s="2">
        <f t="shared" si="32"/>
        <v>0</v>
      </c>
      <c r="H516">
        <f t="shared" si="33"/>
        <v>1</v>
      </c>
      <c r="I516" s="2">
        <f t="shared" si="34"/>
        <v>0</v>
      </c>
      <c r="J516" s="2">
        <f t="shared" si="35"/>
        <v>0</v>
      </c>
    </row>
    <row r="517" spans="1:10" x14ac:dyDescent="0.3">
      <c r="A517">
        <v>1000017516</v>
      </c>
      <c r="B517" s="1">
        <f>VLOOKUP(A517,[1]Sheet1!A:B,2,FALSE)</f>
        <v>40568</v>
      </c>
      <c r="C517" s="2">
        <v>0</v>
      </c>
      <c r="D517" s="2">
        <f>SUMIFS([1]Sheet1!D:D,[1]Sheet1!A:A,A517,[1]Sheet1!E:E,"Figurado")</f>
        <v>0</v>
      </c>
      <c r="E517" s="2">
        <f>SUMIFS([1]Sheet1!D:D,[1]Sheet1!A:A,A517,[1]Sheet1!E:E,"Mallas")</f>
        <v>0</v>
      </c>
      <c r="F517" s="2">
        <f>SUMIFS([1]Sheet1!D:D,[1]Sheet1!A:A,A517,[1]Sheet1!E:E,"Materia Prima")</f>
        <v>950</v>
      </c>
      <c r="G517" s="2">
        <f t="shared" si="32"/>
        <v>0</v>
      </c>
      <c r="H517">
        <f t="shared" si="33"/>
        <v>1</v>
      </c>
      <c r="I517" s="2">
        <f t="shared" si="34"/>
        <v>0</v>
      </c>
      <c r="J517" s="2">
        <f t="shared" si="35"/>
        <v>0</v>
      </c>
    </row>
    <row r="518" spans="1:10" x14ac:dyDescent="0.3">
      <c r="A518">
        <v>1000017517</v>
      </c>
      <c r="B518" s="1">
        <f>VLOOKUP(A518,[1]Sheet1!A:B,2,FALSE)</f>
        <v>40568</v>
      </c>
      <c r="C518" s="2">
        <v>0</v>
      </c>
      <c r="D518" s="2">
        <f>SUMIFS([1]Sheet1!D:D,[1]Sheet1!A:A,A518,[1]Sheet1!E:E,"Figurado")</f>
        <v>0</v>
      </c>
      <c r="E518" s="2">
        <f>SUMIFS([1]Sheet1!D:D,[1]Sheet1!A:A,A518,[1]Sheet1!E:E,"Mallas")</f>
        <v>0</v>
      </c>
      <c r="F518" s="2">
        <f>SUMIFS([1]Sheet1!D:D,[1]Sheet1!A:A,A518,[1]Sheet1!E:E,"Materia Prima")</f>
        <v>600</v>
      </c>
      <c r="G518" s="2">
        <f t="shared" si="32"/>
        <v>0</v>
      </c>
      <c r="H518">
        <f t="shared" si="33"/>
        <v>1</v>
      </c>
      <c r="I518" s="2">
        <f t="shared" si="34"/>
        <v>0</v>
      </c>
      <c r="J518" s="2">
        <f t="shared" si="35"/>
        <v>0</v>
      </c>
    </row>
    <row r="519" spans="1:10" x14ac:dyDescent="0.3">
      <c r="A519">
        <v>1000017519</v>
      </c>
      <c r="B519" s="1">
        <f>VLOOKUP(A519,[1]Sheet1!A:B,2,FALSE)</f>
        <v>40568</v>
      </c>
      <c r="C519" s="2">
        <v>0</v>
      </c>
      <c r="D519" s="2">
        <f>SUMIFS([1]Sheet1!D:D,[1]Sheet1!A:A,A519,[1]Sheet1!E:E,"Figurado")</f>
        <v>0</v>
      </c>
      <c r="E519" s="2">
        <f>SUMIFS([1]Sheet1!D:D,[1]Sheet1!A:A,A519,[1]Sheet1!E:E,"Mallas")</f>
        <v>0</v>
      </c>
      <c r="F519" s="2">
        <f>SUMIFS([1]Sheet1!D:D,[1]Sheet1!A:A,A519,[1]Sheet1!E:E,"Materia Prima")</f>
        <v>1975</v>
      </c>
      <c r="G519" s="2">
        <f t="shared" si="32"/>
        <v>0</v>
      </c>
      <c r="H519">
        <f t="shared" si="33"/>
        <v>1</v>
      </c>
      <c r="I519" s="2">
        <f t="shared" si="34"/>
        <v>0</v>
      </c>
      <c r="J519" s="2">
        <f t="shared" si="35"/>
        <v>0</v>
      </c>
    </row>
    <row r="520" spans="1:10" x14ac:dyDescent="0.3">
      <c r="A520">
        <v>1000017520</v>
      </c>
      <c r="B520" s="1">
        <f>VLOOKUP(A520,[1]Sheet1!A:B,2,FALSE)</f>
        <v>40568</v>
      </c>
      <c r="C520" s="2">
        <v>0</v>
      </c>
      <c r="D520" s="2">
        <f>SUMIFS([1]Sheet1!D:D,[1]Sheet1!A:A,A520,[1]Sheet1!E:E,"Figurado")</f>
        <v>2053.9</v>
      </c>
      <c r="E520" s="2">
        <f>SUMIFS([1]Sheet1!D:D,[1]Sheet1!A:A,A520,[1]Sheet1!E:E,"Mallas")</f>
        <v>0</v>
      </c>
      <c r="F520" s="2">
        <f>SUMIFS([1]Sheet1!D:D,[1]Sheet1!A:A,A520,[1]Sheet1!E:E,"Materia Prima")</f>
        <v>0</v>
      </c>
      <c r="G520" s="2">
        <f t="shared" si="32"/>
        <v>0.78996153846153849</v>
      </c>
      <c r="H520">
        <f t="shared" si="33"/>
        <v>1</v>
      </c>
      <c r="I520" s="2">
        <f t="shared" si="34"/>
        <v>0.78996153846153849</v>
      </c>
      <c r="J520" s="2">
        <f t="shared" si="35"/>
        <v>0</v>
      </c>
    </row>
    <row r="521" spans="1:10" x14ac:dyDescent="0.3">
      <c r="A521">
        <v>1000017521</v>
      </c>
      <c r="B521" s="1">
        <f>VLOOKUP(A521,[1]Sheet1!A:B,2,FALSE)</f>
        <v>40568</v>
      </c>
      <c r="C521" s="2">
        <v>0</v>
      </c>
      <c r="D521" s="2">
        <f>SUMIFS([1]Sheet1!D:D,[1]Sheet1!A:A,A521,[1]Sheet1!E:E,"Figurado")</f>
        <v>1095.0999999999999</v>
      </c>
      <c r="E521" s="2">
        <f>SUMIFS([1]Sheet1!D:D,[1]Sheet1!A:A,A521,[1]Sheet1!E:E,"Mallas")</f>
        <v>0</v>
      </c>
      <c r="F521" s="2">
        <f>SUMIFS([1]Sheet1!D:D,[1]Sheet1!A:A,A521,[1]Sheet1!E:E,"Materia Prima")</f>
        <v>0</v>
      </c>
      <c r="G521" s="2">
        <f t="shared" si="32"/>
        <v>0.42119230769230764</v>
      </c>
      <c r="H521">
        <f t="shared" si="33"/>
        <v>1</v>
      </c>
      <c r="I521" s="2">
        <f t="shared" si="34"/>
        <v>0.42119230769230764</v>
      </c>
      <c r="J521" s="2">
        <f t="shared" si="35"/>
        <v>0</v>
      </c>
    </row>
    <row r="522" spans="1:10" x14ac:dyDescent="0.3">
      <c r="A522">
        <v>1000017522</v>
      </c>
      <c r="B522" s="1">
        <f>VLOOKUP(A522,[1]Sheet1!A:B,2,FALSE)</f>
        <v>40568</v>
      </c>
      <c r="C522" s="2">
        <v>0</v>
      </c>
      <c r="D522" s="2">
        <f>SUMIFS([1]Sheet1!D:D,[1]Sheet1!A:A,A522,[1]Sheet1!E:E,"Figurado")</f>
        <v>1667.5</v>
      </c>
      <c r="E522" s="2">
        <f>SUMIFS([1]Sheet1!D:D,[1]Sheet1!A:A,A522,[1]Sheet1!E:E,"Mallas")</f>
        <v>0</v>
      </c>
      <c r="F522" s="2">
        <f>SUMIFS([1]Sheet1!D:D,[1]Sheet1!A:A,A522,[1]Sheet1!E:E,"Materia Prima")</f>
        <v>0</v>
      </c>
      <c r="G522" s="2">
        <f t="shared" si="32"/>
        <v>0.6413461538461539</v>
      </c>
      <c r="H522">
        <f t="shared" si="33"/>
        <v>1</v>
      </c>
      <c r="I522" s="2">
        <f t="shared" si="34"/>
        <v>0.6413461538461539</v>
      </c>
      <c r="J522" s="2">
        <f t="shared" si="35"/>
        <v>0</v>
      </c>
    </row>
    <row r="523" spans="1:10" x14ac:dyDescent="0.3">
      <c r="A523">
        <v>1000017523</v>
      </c>
      <c r="B523" s="1">
        <f>VLOOKUP(A523,[1]Sheet1!A:B,2,FALSE)</f>
        <v>40568</v>
      </c>
      <c r="C523" s="2">
        <v>0</v>
      </c>
      <c r="D523" s="2">
        <f>SUMIFS([1]Sheet1!D:D,[1]Sheet1!A:A,A523,[1]Sheet1!E:E,"Figurado")</f>
        <v>1649.5</v>
      </c>
      <c r="E523" s="2">
        <f>SUMIFS([1]Sheet1!D:D,[1]Sheet1!A:A,A523,[1]Sheet1!E:E,"Mallas")</f>
        <v>0</v>
      </c>
      <c r="F523" s="2">
        <f>SUMIFS([1]Sheet1!D:D,[1]Sheet1!A:A,A523,[1]Sheet1!E:E,"Materia Prima")</f>
        <v>0</v>
      </c>
      <c r="G523" s="2">
        <f t="shared" si="32"/>
        <v>0.63442307692307698</v>
      </c>
      <c r="H523">
        <f t="shared" si="33"/>
        <v>1</v>
      </c>
      <c r="I523" s="2">
        <f t="shared" si="34"/>
        <v>0.63442307692307698</v>
      </c>
      <c r="J523" s="2">
        <f t="shared" si="35"/>
        <v>0</v>
      </c>
    </row>
    <row r="524" spans="1:10" x14ac:dyDescent="0.3">
      <c r="A524">
        <v>1000017524</v>
      </c>
      <c r="B524" s="1">
        <f>VLOOKUP(A524,[1]Sheet1!A:B,2,FALSE)</f>
        <v>40569</v>
      </c>
      <c r="C524" s="2">
        <v>0</v>
      </c>
      <c r="D524" s="2">
        <f>SUMIFS([1]Sheet1!D:D,[1]Sheet1!A:A,A524,[1]Sheet1!E:E,"Figurado")</f>
        <v>450.4</v>
      </c>
      <c r="E524" s="2">
        <f>SUMIFS([1]Sheet1!D:D,[1]Sheet1!A:A,A524,[1]Sheet1!E:E,"Mallas")</f>
        <v>0</v>
      </c>
      <c r="F524" s="2">
        <f>SUMIFS([1]Sheet1!D:D,[1]Sheet1!A:A,A524,[1]Sheet1!E:E,"Materia Prima")</f>
        <v>0</v>
      </c>
      <c r="G524" s="2">
        <f t="shared" si="32"/>
        <v>0.17323076923076922</v>
      </c>
      <c r="H524">
        <f t="shared" si="33"/>
        <v>1</v>
      </c>
      <c r="I524" s="2">
        <f t="shared" si="34"/>
        <v>0.17323076923076922</v>
      </c>
      <c r="J524" s="2">
        <f t="shared" si="35"/>
        <v>0</v>
      </c>
    </row>
    <row r="525" spans="1:10" x14ac:dyDescent="0.3">
      <c r="A525">
        <v>1000017525</v>
      </c>
      <c r="B525" s="1">
        <f>VLOOKUP(A525,[1]Sheet1!A:B,2,FALSE)</f>
        <v>40569</v>
      </c>
      <c r="C525" s="2">
        <v>0</v>
      </c>
      <c r="D525" s="2">
        <f>SUMIFS([1]Sheet1!D:D,[1]Sheet1!A:A,A525,[1]Sheet1!E:E,"Figurado")</f>
        <v>526</v>
      </c>
      <c r="E525" s="2">
        <f>SUMIFS([1]Sheet1!D:D,[1]Sheet1!A:A,A525,[1]Sheet1!E:E,"Mallas")</f>
        <v>0</v>
      </c>
      <c r="F525" s="2">
        <f>SUMIFS([1]Sheet1!D:D,[1]Sheet1!A:A,A525,[1]Sheet1!E:E,"Materia Prima")</f>
        <v>7224</v>
      </c>
      <c r="G525" s="2">
        <f t="shared" si="32"/>
        <v>0.2023076923076923</v>
      </c>
      <c r="H525">
        <f t="shared" si="33"/>
        <v>2</v>
      </c>
      <c r="I525" s="2">
        <f t="shared" si="34"/>
        <v>0.2023076923076923</v>
      </c>
      <c r="J525" s="2">
        <f t="shared" si="35"/>
        <v>0</v>
      </c>
    </row>
    <row r="526" spans="1:10" x14ac:dyDescent="0.3">
      <c r="A526">
        <v>1000017526</v>
      </c>
      <c r="B526" s="1">
        <f>VLOOKUP(A526,[1]Sheet1!A:B,2,FALSE)</f>
        <v>40569</v>
      </c>
      <c r="C526" s="2">
        <v>0</v>
      </c>
      <c r="D526" s="2">
        <f>SUMIFS([1]Sheet1!D:D,[1]Sheet1!A:A,A526,[1]Sheet1!E:E,"Figurado")</f>
        <v>255.6</v>
      </c>
      <c r="E526" s="2">
        <f>SUMIFS([1]Sheet1!D:D,[1]Sheet1!A:A,A526,[1]Sheet1!E:E,"Mallas")</f>
        <v>0</v>
      </c>
      <c r="F526" s="2">
        <f>SUMIFS([1]Sheet1!D:D,[1]Sheet1!A:A,A526,[1]Sheet1!E:E,"Materia Prima")</f>
        <v>0</v>
      </c>
      <c r="G526" s="2">
        <f t="shared" si="32"/>
        <v>9.8307692307692304E-2</v>
      </c>
      <c r="H526">
        <f t="shared" si="33"/>
        <v>1</v>
      </c>
      <c r="I526" s="2">
        <f t="shared" si="34"/>
        <v>9.8307692307692304E-2</v>
      </c>
      <c r="J526" s="2">
        <f t="shared" si="35"/>
        <v>0</v>
      </c>
    </row>
    <row r="527" spans="1:10" x14ac:dyDescent="0.3">
      <c r="A527">
        <v>1000017527</v>
      </c>
      <c r="B527" s="1">
        <f>VLOOKUP(A527,[1]Sheet1!A:B,2,FALSE)</f>
        <v>40569</v>
      </c>
      <c r="C527" s="2">
        <v>0</v>
      </c>
      <c r="D527" s="2">
        <f>SUMIFS([1]Sheet1!D:D,[1]Sheet1!A:A,A527,[1]Sheet1!E:E,"Figurado")</f>
        <v>1181.8000000000002</v>
      </c>
      <c r="E527" s="2">
        <f>SUMIFS([1]Sheet1!D:D,[1]Sheet1!A:A,A527,[1]Sheet1!E:E,"Mallas")</f>
        <v>0</v>
      </c>
      <c r="F527" s="2">
        <f>SUMIFS([1]Sheet1!D:D,[1]Sheet1!A:A,A527,[1]Sheet1!E:E,"Materia Prima")</f>
        <v>336</v>
      </c>
      <c r="G527" s="2">
        <f t="shared" si="32"/>
        <v>0.45453846153846161</v>
      </c>
      <c r="H527">
        <f t="shared" si="33"/>
        <v>2</v>
      </c>
      <c r="I527" s="2">
        <f t="shared" si="34"/>
        <v>0.45453846153846161</v>
      </c>
      <c r="J527" s="2">
        <f t="shared" si="35"/>
        <v>0</v>
      </c>
    </row>
    <row r="528" spans="1:10" x14ac:dyDescent="0.3">
      <c r="A528">
        <v>1000017532</v>
      </c>
      <c r="B528" s="1">
        <f>VLOOKUP(A528,[1]Sheet1!A:B,2,FALSE)</f>
        <v>40569</v>
      </c>
      <c r="C528" s="2">
        <v>0</v>
      </c>
      <c r="D528" s="2">
        <f>SUMIFS([1]Sheet1!D:D,[1]Sheet1!A:A,A528,[1]Sheet1!E:E,"Figurado")</f>
        <v>2404.8000000000002</v>
      </c>
      <c r="E528" s="2">
        <f>SUMIFS([1]Sheet1!D:D,[1]Sheet1!A:A,A528,[1]Sheet1!E:E,"Mallas")</f>
        <v>0</v>
      </c>
      <c r="F528" s="2">
        <f>SUMIFS([1]Sheet1!D:D,[1]Sheet1!A:A,A528,[1]Sheet1!E:E,"Materia Prima")</f>
        <v>0</v>
      </c>
      <c r="G528" s="2">
        <f t="shared" si="32"/>
        <v>0.92492307692307696</v>
      </c>
      <c r="H528">
        <f t="shared" si="33"/>
        <v>1</v>
      </c>
      <c r="I528" s="2">
        <f t="shared" si="34"/>
        <v>0.92492307692307696</v>
      </c>
      <c r="J528" s="2">
        <f t="shared" si="35"/>
        <v>0</v>
      </c>
    </row>
    <row r="529" spans="1:10" x14ac:dyDescent="0.3">
      <c r="A529">
        <v>1000017540</v>
      </c>
      <c r="B529" s="1">
        <f>VLOOKUP(A529,[1]Sheet1!A:B,2,FALSE)</f>
        <v>40569</v>
      </c>
      <c r="C529" s="2">
        <v>0</v>
      </c>
      <c r="D529" s="2">
        <f>SUMIFS([1]Sheet1!D:D,[1]Sheet1!A:A,A529,[1]Sheet1!E:E,"Figurado")</f>
        <v>6020.3</v>
      </c>
      <c r="E529" s="2">
        <f>SUMIFS([1]Sheet1!D:D,[1]Sheet1!A:A,A529,[1]Sheet1!E:E,"Mallas")</f>
        <v>0</v>
      </c>
      <c r="F529" s="2">
        <f>SUMIFS([1]Sheet1!D:D,[1]Sheet1!A:A,A529,[1]Sheet1!E:E,"Materia Prima")</f>
        <v>134.4</v>
      </c>
      <c r="G529" s="2">
        <f t="shared" si="32"/>
        <v>2.3155000000000001</v>
      </c>
      <c r="H529">
        <f t="shared" si="33"/>
        <v>2</v>
      </c>
      <c r="I529" s="2">
        <f t="shared" si="34"/>
        <v>2.3155000000000001</v>
      </c>
      <c r="J529" s="2">
        <f t="shared" si="35"/>
        <v>0</v>
      </c>
    </row>
    <row r="530" spans="1:10" x14ac:dyDescent="0.3">
      <c r="A530">
        <v>1000017543</v>
      </c>
      <c r="B530" s="1">
        <f>VLOOKUP(A530,[1]Sheet1!A:B,2,FALSE)</f>
        <v>40569</v>
      </c>
      <c r="C530" s="2">
        <v>0</v>
      </c>
      <c r="D530" s="2">
        <f>SUMIFS([1]Sheet1!D:D,[1]Sheet1!A:A,A530,[1]Sheet1!E:E,"Figurado")</f>
        <v>442</v>
      </c>
      <c r="E530" s="2">
        <f>SUMIFS([1]Sheet1!D:D,[1]Sheet1!A:A,A530,[1]Sheet1!E:E,"Mallas")</f>
        <v>0</v>
      </c>
      <c r="F530" s="2">
        <f>SUMIFS([1]Sheet1!D:D,[1]Sheet1!A:A,A530,[1]Sheet1!E:E,"Materia Prima")</f>
        <v>0</v>
      </c>
      <c r="G530" s="2">
        <f t="shared" si="32"/>
        <v>0.17</v>
      </c>
      <c r="H530">
        <f t="shared" si="33"/>
        <v>1</v>
      </c>
      <c r="I530" s="2">
        <f t="shared" si="34"/>
        <v>0.17</v>
      </c>
      <c r="J530" s="2">
        <f t="shared" si="35"/>
        <v>0</v>
      </c>
    </row>
    <row r="531" spans="1:10" x14ac:dyDescent="0.3">
      <c r="A531">
        <v>1000017545</v>
      </c>
      <c r="B531" s="1">
        <f>VLOOKUP(A531,[1]Sheet1!A:B,2,FALSE)</f>
        <v>40569</v>
      </c>
      <c r="C531" s="2">
        <v>0</v>
      </c>
      <c r="D531" s="2">
        <f>SUMIFS([1]Sheet1!D:D,[1]Sheet1!A:A,A531,[1]Sheet1!E:E,"Figurado")</f>
        <v>1380.8</v>
      </c>
      <c r="E531" s="2">
        <f>SUMIFS([1]Sheet1!D:D,[1]Sheet1!A:A,A531,[1]Sheet1!E:E,"Mallas")</f>
        <v>0</v>
      </c>
      <c r="F531" s="2">
        <f>SUMIFS([1]Sheet1!D:D,[1]Sheet1!A:A,A531,[1]Sheet1!E:E,"Materia Prima")</f>
        <v>0</v>
      </c>
      <c r="G531" s="2">
        <f t="shared" si="32"/>
        <v>0.53107692307692311</v>
      </c>
      <c r="H531">
        <f t="shared" si="33"/>
        <v>1</v>
      </c>
      <c r="I531" s="2">
        <f t="shared" si="34"/>
        <v>0.53107692307692311</v>
      </c>
      <c r="J531" s="2">
        <f t="shared" si="35"/>
        <v>0</v>
      </c>
    </row>
    <row r="532" spans="1:10" x14ac:dyDescent="0.3">
      <c r="A532">
        <v>1000017549</v>
      </c>
      <c r="B532" s="1">
        <f>VLOOKUP(A532,[1]Sheet1!A:B,2,FALSE)</f>
        <v>40569</v>
      </c>
      <c r="C532" s="2">
        <v>0</v>
      </c>
      <c r="D532" s="2">
        <f>SUMIFS([1]Sheet1!D:D,[1]Sheet1!A:A,A532,[1]Sheet1!E:E,"Figurado")</f>
        <v>10747.2</v>
      </c>
      <c r="E532" s="2">
        <f>SUMIFS([1]Sheet1!D:D,[1]Sheet1!A:A,A532,[1]Sheet1!E:E,"Mallas")</f>
        <v>0</v>
      </c>
      <c r="F532" s="2">
        <f>SUMIFS([1]Sheet1!D:D,[1]Sheet1!A:A,A532,[1]Sheet1!E:E,"Materia Prima")</f>
        <v>586.6</v>
      </c>
      <c r="G532" s="2">
        <f t="shared" si="32"/>
        <v>4.1335384615384614</v>
      </c>
      <c r="H532">
        <f t="shared" si="33"/>
        <v>2</v>
      </c>
      <c r="I532" s="2">
        <f t="shared" si="34"/>
        <v>4.1335384615384614</v>
      </c>
      <c r="J532" s="2">
        <f t="shared" si="35"/>
        <v>0</v>
      </c>
    </row>
    <row r="533" spans="1:10" x14ac:dyDescent="0.3">
      <c r="A533">
        <v>1000017553</v>
      </c>
      <c r="B533" s="1">
        <f>VLOOKUP(A533,[1]Sheet1!A:B,2,FALSE)</f>
        <v>40569</v>
      </c>
      <c r="C533" s="2">
        <v>0</v>
      </c>
      <c r="D533" s="2">
        <f>SUMIFS([1]Sheet1!D:D,[1]Sheet1!A:A,A533,[1]Sheet1!E:E,"Figurado")</f>
        <v>1102.3</v>
      </c>
      <c r="E533" s="2">
        <f>SUMIFS([1]Sheet1!D:D,[1]Sheet1!A:A,A533,[1]Sheet1!E:E,"Mallas")</f>
        <v>0</v>
      </c>
      <c r="F533" s="2">
        <f>SUMIFS([1]Sheet1!D:D,[1]Sheet1!A:A,A533,[1]Sheet1!E:E,"Materia Prima")</f>
        <v>0</v>
      </c>
      <c r="G533" s="2">
        <f t="shared" si="32"/>
        <v>0.42396153846153845</v>
      </c>
      <c r="H533">
        <f t="shared" si="33"/>
        <v>1</v>
      </c>
      <c r="I533" s="2">
        <f t="shared" si="34"/>
        <v>0.42396153846153845</v>
      </c>
      <c r="J533" s="2">
        <f t="shared" si="35"/>
        <v>0</v>
      </c>
    </row>
    <row r="534" spans="1:10" x14ac:dyDescent="0.3">
      <c r="A534">
        <v>1000017554</v>
      </c>
      <c r="B534" s="1">
        <f>VLOOKUP(A534,[1]Sheet1!A:B,2,FALSE)</f>
        <v>40569</v>
      </c>
      <c r="C534" s="2">
        <v>0</v>
      </c>
      <c r="D534" s="2">
        <f>SUMIFS([1]Sheet1!D:D,[1]Sheet1!A:A,A534,[1]Sheet1!E:E,"Figurado")</f>
        <v>1136.4000000000001</v>
      </c>
      <c r="E534" s="2">
        <f>SUMIFS([1]Sheet1!D:D,[1]Sheet1!A:A,A534,[1]Sheet1!E:E,"Mallas")</f>
        <v>0</v>
      </c>
      <c r="F534" s="2">
        <f>SUMIFS([1]Sheet1!D:D,[1]Sheet1!A:A,A534,[1]Sheet1!E:E,"Materia Prima")</f>
        <v>0</v>
      </c>
      <c r="G534" s="2">
        <f t="shared" si="32"/>
        <v>0.43707692307692309</v>
      </c>
      <c r="H534">
        <f t="shared" si="33"/>
        <v>1</v>
      </c>
      <c r="I534" s="2">
        <f t="shared" si="34"/>
        <v>0.43707692307692309</v>
      </c>
      <c r="J534" s="2">
        <f t="shared" si="35"/>
        <v>0</v>
      </c>
    </row>
    <row r="535" spans="1:10" x14ac:dyDescent="0.3">
      <c r="A535">
        <v>1000017555</v>
      </c>
      <c r="B535" s="1">
        <f>VLOOKUP(A535,[1]Sheet1!A:B,2,FALSE)</f>
        <v>40569</v>
      </c>
      <c r="C535" s="2">
        <v>0</v>
      </c>
      <c r="D535" s="2">
        <f>SUMIFS([1]Sheet1!D:D,[1]Sheet1!A:A,A535,[1]Sheet1!E:E,"Figurado")</f>
        <v>887</v>
      </c>
      <c r="E535" s="2">
        <f>SUMIFS([1]Sheet1!D:D,[1]Sheet1!A:A,A535,[1]Sheet1!E:E,"Mallas")</f>
        <v>0</v>
      </c>
      <c r="F535" s="2">
        <f>SUMIFS([1]Sheet1!D:D,[1]Sheet1!A:A,A535,[1]Sheet1!E:E,"Materia Prima")</f>
        <v>0</v>
      </c>
      <c r="G535" s="2">
        <f t="shared" si="32"/>
        <v>0.34115384615384614</v>
      </c>
      <c r="H535">
        <f t="shared" si="33"/>
        <v>1</v>
      </c>
      <c r="I535" s="2">
        <f t="shared" si="34"/>
        <v>0.34115384615384614</v>
      </c>
      <c r="J535" s="2">
        <f t="shared" si="35"/>
        <v>0</v>
      </c>
    </row>
    <row r="536" spans="1:10" x14ac:dyDescent="0.3">
      <c r="A536">
        <v>1000017556</v>
      </c>
      <c r="B536" s="1">
        <f>VLOOKUP(A536,[1]Sheet1!A:B,2,FALSE)</f>
        <v>40569</v>
      </c>
      <c r="C536" s="2">
        <v>0</v>
      </c>
      <c r="D536" s="2">
        <f>SUMIFS([1]Sheet1!D:D,[1]Sheet1!A:A,A536,[1]Sheet1!E:E,"Figurado")</f>
        <v>9873.9</v>
      </c>
      <c r="E536" s="2">
        <f>SUMIFS([1]Sheet1!D:D,[1]Sheet1!A:A,A536,[1]Sheet1!E:E,"Mallas")</f>
        <v>0</v>
      </c>
      <c r="F536" s="2">
        <f>SUMIFS([1]Sheet1!D:D,[1]Sheet1!A:A,A536,[1]Sheet1!E:E,"Materia Prima")</f>
        <v>1536</v>
      </c>
      <c r="G536" s="2">
        <f t="shared" si="32"/>
        <v>3.797653846153846</v>
      </c>
      <c r="H536">
        <f t="shared" si="33"/>
        <v>2</v>
      </c>
      <c r="I536" s="2">
        <f t="shared" si="34"/>
        <v>3.797653846153846</v>
      </c>
      <c r="J536" s="2">
        <f t="shared" si="35"/>
        <v>0</v>
      </c>
    </row>
    <row r="537" spans="1:10" x14ac:dyDescent="0.3">
      <c r="A537">
        <v>1000017557</v>
      </c>
      <c r="B537" s="1">
        <f>VLOOKUP(A537,[1]Sheet1!A:B,2,FALSE)</f>
        <v>40569</v>
      </c>
      <c r="C537" s="2">
        <v>0</v>
      </c>
      <c r="D537" s="2">
        <f>SUMIFS([1]Sheet1!D:D,[1]Sheet1!A:A,A537,[1]Sheet1!E:E,"Figurado")</f>
        <v>10189.4</v>
      </c>
      <c r="E537" s="2">
        <f>SUMIFS([1]Sheet1!D:D,[1]Sheet1!A:A,A537,[1]Sheet1!E:E,"Mallas")</f>
        <v>0</v>
      </c>
      <c r="F537" s="2">
        <f>SUMIFS([1]Sheet1!D:D,[1]Sheet1!A:A,A537,[1]Sheet1!E:E,"Materia Prima")</f>
        <v>675</v>
      </c>
      <c r="G537" s="2">
        <f t="shared" si="32"/>
        <v>3.919</v>
      </c>
      <c r="H537">
        <f t="shared" si="33"/>
        <v>2</v>
      </c>
      <c r="I537" s="2">
        <f t="shared" si="34"/>
        <v>3.919</v>
      </c>
      <c r="J537" s="2">
        <f t="shared" si="35"/>
        <v>0</v>
      </c>
    </row>
    <row r="538" spans="1:10" x14ac:dyDescent="0.3">
      <c r="A538">
        <v>1000017583</v>
      </c>
      <c r="B538" s="1">
        <f>VLOOKUP(A538,[1]Sheet1!A:B,2,FALSE)</f>
        <v>40570</v>
      </c>
      <c r="C538" s="2">
        <v>0</v>
      </c>
      <c r="D538" s="2">
        <f>SUMIFS([1]Sheet1!D:D,[1]Sheet1!A:A,A538,[1]Sheet1!E:E,"Figurado")</f>
        <v>10391.799999999999</v>
      </c>
      <c r="E538" s="2">
        <f>SUMIFS([1]Sheet1!D:D,[1]Sheet1!A:A,A538,[1]Sheet1!E:E,"Mallas")</f>
        <v>0</v>
      </c>
      <c r="F538" s="2">
        <f>SUMIFS([1]Sheet1!D:D,[1]Sheet1!A:A,A538,[1]Sheet1!E:E,"Materia Prima")</f>
        <v>0</v>
      </c>
      <c r="G538" s="2">
        <f t="shared" si="32"/>
        <v>3.9968461538461537</v>
      </c>
      <c r="H538">
        <f t="shared" si="33"/>
        <v>1</v>
      </c>
      <c r="I538" s="2">
        <f t="shared" si="34"/>
        <v>3.9968461538461537</v>
      </c>
      <c r="J538" s="2">
        <f t="shared" si="35"/>
        <v>0</v>
      </c>
    </row>
    <row r="539" spans="1:10" x14ac:dyDescent="0.3">
      <c r="A539">
        <v>1000017584</v>
      </c>
      <c r="B539" s="1">
        <f>VLOOKUP(A539,[1]Sheet1!A:B,2,FALSE)</f>
        <v>40570</v>
      </c>
      <c r="C539" s="2">
        <v>0</v>
      </c>
      <c r="D539" s="2">
        <f>SUMIFS([1]Sheet1!D:D,[1]Sheet1!A:A,A539,[1]Sheet1!E:E,"Figurado")</f>
        <v>405</v>
      </c>
      <c r="E539" s="2">
        <f>SUMIFS([1]Sheet1!D:D,[1]Sheet1!A:A,A539,[1]Sheet1!E:E,"Mallas")</f>
        <v>0</v>
      </c>
      <c r="F539" s="2">
        <f>SUMIFS([1]Sheet1!D:D,[1]Sheet1!A:A,A539,[1]Sheet1!E:E,"Materia Prima")</f>
        <v>0</v>
      </c>
      <c r="G539" s="2">
        <f t="shared" si="32"/>
        <v>0.15576923076923077</v>
      </c>
      <c r="H539">
        <f t="shared" si="33"/>
        <v>1</v>
      </c>
      <c r="I539" s="2">
        <f t="shared" si="34"/>
        <v>0.15576923076923077</v>
      </c>
      <c r="J539" s="2">
        <f t="shared" si="35"/>
        <v>0</v>
      </c>
    </row>
    <row r="540" spans="1:10" x14ac:dyDescent="0.3">
      <c r="A540">
        <v>1000017585</v>
      </c>
      <c r="B540" s="1">
        <f>VLOOKUP(A540,[1]Sheet1!A:B,2,FALSE)</f>
        <v>40570</v>
      </c>
      <c r="C540" s="2">
        <v>0</v>
      </c>
      <c r="D540" s="2">
        <f>SUMIFS([1]Sheet1!D:D,[1]Sheet1!A:A,A540,[1]Sheet1!E:E,"Figurado")</f>
        <v>3066.9</v>
      </c>
      <c r="E540" s="2">
        <f>SUMIFS([1]Sheet1!D:D,[1]Sheet1!A:A,A540,[1]Sheet1!E:E,"Mallas")</f>
        <v>0</v>
      </c>
      <c r="F540" s="2">
        <f>SUMIFS([1]Sheet1!D:D,[1]Sheet1!A:A,A540,[1]Sheet1!E:E,"Materia Prima")</f>
        <v>0</v>
      </c>
      <c r="G540" s="2">
        <f t="shared" si="32"/>
        <v>1.1795769230769231</v>
      </c>
      <c r="H540">
        <f t="shared" si="33"/>
        <v>1</v>
      </c>
      <c r="I540" s="2">
        <f t="shared" si="34"/>
        <v>1.1795769230769231</v>
      </c>
      <c r="J540" s="2">
        <f t="shared" si="35"/>
        <v>0</v>
      </c>
    </row>
    <row r="541" spans="1:10" x14ac:dyDescent="0.3">
      <c r="A541">
        <v>1000017586</v>
      </c>
      <c r="B541" s="1">
        <f>VLOOKUP(A541,[1]Sheet1!A:B,2,FALSE)</f>
        <v>40570</v>
      </c>
      <c r="C541" s="2">
        <v>0</v>
      </c>
      <c r="D541" s="2">
        <f>SUMIFS([1]Sheet1!D:D,[1]Sheet1!A:A,A541,[1]Sheet1!E:E,"Figurado")</f>
        <v>122</v>
      </c>
      <c r="E541" s="2">
        <f>SUMIFS([1]Sheet1!D:D,[1]Sheet1!A:A,A541,[1]Sheet1!E:E,"Mallas")</f>
        <v>0</v>
      </c>
      <c r="F541" s="2">
        <f>SUMIFS([1]Sheet1!D:D,[1]Sheet1!A:A,A541,[1]Sheet1!E:E,"Materia Prima")</f>
        <v>0</v>
      </c>
      <c r="G541" s="2">
        <f t="shared" si="32"/>
        <v>4.6923076923076922E-2</v>
      </c>
      <c r="H541">
        <f t="shared" si="33"/>
        <v>1</v>
      </c>
      <c r="I541" s="2">
        <f t="shared" si="34"/>
        <v>4.6923076923076922E-2</v>
      </c>
      <c r="J541" s="2">
        <f t="shared" si="35"/>
        <v>0</v>
      </c>
    </row>
    <row r="542" spans="1:10" x14ac:dyDescent="0.3">
      <c r="A542">
        <v>1000017587</v>
      </c>
      <c r="B542" s="1">
        <f>VLOOKUP(A542,[1]Sheet1!A:B,2,FALSE)</f>
        <v>40570</v>
      </c>
      <c r="C542" s="2">
        <v>0</v>
      </c>
      <c r="D542" s="2">
        <f>SUMIFS([1]Sheet1!D:D,[1]Sheet1!A:A,A542,[1]Sheet1!E:E,"Figurado")</f>
        <v>0</v>
      </c>
      <c r="E542" s="2">
        <f>SUMIFS([1]Sheet1!D:D,[1]Sheet1!A:A,A542,[1]Sheet1!E:E,"Mallas")</f>
        <v>0</v>
      </c>
      <c r="F542" s="2">
        <f>SUMIFS([1]Sheet1!D:D,[1]Sheet1!A:A,A542,[1]Sheet1!E:E,"Materia Prima")</f>
        <v>1188</v>
      </c>
      <c r="G542" s="2">
        <f t="shared" si="32"/>
        <v>0</v>
      </c>
      <c r="H542">
        <f t="shared" si="33"/>
        <v>1</v>
      </c>
      <c r="I542" s="2">
        <f t="shared" si="34"/>
        <v>0</v>
      </c>
      <c r="J542" s="2">
        <f t="shared" si="35"/>
        <v>0</v>
      </c>
    </row>
    <row r="543" spans="1:10" x14ac:dyDescent="0.3">
      <c r="A543">
        <v>1000017588</v>
      </c>
      <c r="B543" s="1">
        <f>VLOOKUP(A543,[1]Sheet1!A:B,2,FALSE)</f>
        <v>40570</v>
      </c>
      <c r="C543" s="2">
        <v>0</v>
      </c>
      <c r="D543" s="2">
        <f>SUMIFS([1]Sheet1!D:D,[1]Sheet1!A:A,A543,[1]Sheet1!E:E,"Figurado")</f>
        <v>0</v>
      </c>
      <c r="E543" s="2">
        <f>SUMIFS([1]Sheet1!D:D,[1]Sheet1!A:A,A543,[1]Sheet1!E:E,"Mallas")</f>
        <v>0</v>
      </c>
      <c r="F543" s="2">
        <f>SUMIFS([1]Sheet1!D:D,[1]Sheet1!A:A,A543,[1]Sheet1!E:E,"Materia Prima")</f>
        <v>56.2</v>
      </c>
      <c r="G543" s="2">
        <f t="shared" si="32"/>
        <v>0</v>
      </c>
      <c r="H543">
        <f t="shared" si="33"/>
        <v>1</v>
      </c>
      <c r="I543" s="2">
        <f t="shared" si="34"/>
        <v>0</v>
      </c>
      <c r="J543" s="2">
        <f t="shared" si="35"/>
        <v>0</v>
      </c>
    </row>
    <row r="544" spans="1:10" x14ac:dyDescent="0.3">
      <c r="A544">
        <v>1000017596</v>
      </c>
      <c r="B544" s="1">
        <f>VLOOKUP(A544,[1]Sheet1!A:B,2,FALSE)</f>
        <v>40570</v>
      </c>
      <c r="C544" s="2">
        <v>0</v>
      </c>
      <c r="D544" s="2">
        <f>SUMIFS([1]Sheet1!D:D,[1]Sheet1!A:A,A544,[1]Sheet1!E:E,"Figurado")</f>
        <v>8625</v>
      </c>
      <c r="E544" s="2">
        <f>SUMIFS([1]Sheet1!D:D,[1]Sheet1!A:A,A544,[1]Sheet1!E:E,"Mallas")</f>
        <v>0</v>
      </c>
      <c r="F544" s="2">
        <f>SUMIFS([1]Sheet1!D:D,[1]Sheet1!A:A,A544,[1]Sheet1!E:E,"Materia Prima")</f>
        <v>0</v>
      </c>
      <c r="G544" s="2">
        <f t="shared" si="32"/>
        <v>3.3173076923076925</v>
      </c>
      <c r="H544">
        <f t="shared" si="33"/>
        <v>1</v>
      </c>
      <c r="I544" s="2">
        <f t="shared" si="34"/>
        <v>3.3173076923076925</v>
      </c>
      <c r="J544" s="2">
        <f t="shared" si="35"/>
        <v>0</v>
      </c>
    </row>
    <row r="545" spans="1:10" x14ac:dyDescent="0.3">
      <c r="A545">
        <v>1000017598</v>
      </c>
      <c r="B545" s="1">
        <f>VLOOKUP(A545,[1]Sheet1!A:B,2,FALSE)</f>
        <v>40570</v>
      </c>
      <c r="C545" s="2">
        <v>0</v>
      </c>
      <c r="D545" s="2">
        <f>SUMIFS([1]Sheet1!D:D,[1]Sheet1!A:A,A545,[1]Sheet1!E:E,"Figurado")</f>
        <v>782.40000000000009</v>
      </c>
      <c r="E545" s="2">
        <f>SUMIFS([1]Sheet1!D:D,[1]Sheet1!A:A,A545,[1]Sheet1!E:E,"Mallas")</f>
        <v>0</v>
      </c>
      <c r="F545" s="2">
        <f>SUMIFS([1]Sheet1!D:D,[1]Sheet1!A:A,A545,[1]Sheet1!E:E,"Materia Prima")</f>
        <v>0</v>
      </c>
      <c r="G545" s="2">
        <f t="shared" si="32"/>
        <v>0.30092307692307696</v>
      </c>
      <c r="H545">
        <f t="shared" si="33"/>
        <v>1</v>
      </c>
      <c r="I545" s="2">
        <f t="shared" si="34"/>
        <v>0.30092307692307696</v>
      </c>
      <c r="J545" s="2">
        <f t="shared" si="35"/>
        <v>0</v>
      </c>
    </row>
    <row r="546" spans="1:10" x14ac:dyDescent="0.3">
      <c r="A546">
        <v>1000017624</v>
      </c>
      <c r="B546" s="1">
        <f>VLOOKUP(A546,[1]Sheet1!A:B,2,FALSE)</f>
        <v>40570</v>
      </c>
      <c r="C546" s="2">
        <v>0</v>
      </c>
      <c r="D546" s="2">
        <f>SUMIFS([1]Sheet1!D:D,[1]Sheet1!A:A,A546,[1]Sheet1!E:E,"Figurado")</f>
        <v>719.9</v>
      </c>
      <c r="E546" s="2">
        <f>SUMIFS([1]Sheet1!D:D,[1]Sheet1!A:A,A546,[1]Sheet1!E:E,"Mallas")</f>
        <v>0</v>
      </c>
      <c r="F546" s="2">
        <f>SUMIFS([1]Sheet1!D:D,[1]Sheet1!A:A,A546,[1]Sheet1!E:E,"Materia Prima")</f>
        <v>0</v>
      </c>
      <c r="G546" s="2">
        <f t="shared" si="32"/>
        <v>0.2768846153846154</v>
      </c>
      <c r="H546">
        <f t="shared" si="33"/>
        <v>1</v>
      </c>
      <c r="I546" s="2">
        <f t="shared" si="34"/>
        <v>0.2768846153846154</v>
      </c>
      <c r="J546" s="2">
        <f t="shared" si="35"/>
        <v>0</v>
      </c>
    </row>
    <row r="547" spans="1:10" x14ac:dyDescent="0.3">
      <c r="A547">
        <v>1000017625</v>
      </c>
      <c r="B547" s="1">
        <f>VLOOKUP(A547,[1]Sheet1!A:B,2,FALSE)</f>
        <v>40571</v>
      </c>
      <c r="C547" s="2">
        <v>0</v>
      </c>
      <c r="D547" s="2">
        <f>SUMIFS([1]Sheet1!D:D,[1]Sheet1!A:A,A547,[1]Sheet1!E:E,"Figurado")</f>
        <v>0</v>
      </c>
      <c r="E547" s="2">
        <f>SUMIFS([1]Sheet1!D:D,[1]Sheet1!A:A,A547,[1]Sheet1!E:E,"Mallas")</f>
        <v>0</v>
      </c>
      <c r="F547" s="2">
        <f>SUMIFS([1]Sheet1!D:D,[1]Sheet1!A:A,A547,[1]Sheet1!E:E,"Materia Prima")</f>
        <v>33846</v>
      </c>
      <c r="G547" s="2">
        <f t="shared" si="32"/>
        <v>0</v>
      </c>
      <c r="H547">
        <f t="shared" si="33"/>
        <v>1</v>
      </c>
      <c r="I547" s="2">
        <f t="shared" si="34"/>
        <v>0</v>
      </c>
      <c r="J547" s="2">
        <f t="shared" si="35"/>
        <v>0</v>
      </c>
    </row>
    <row r="548" spans="1:10" x14ac:dyDescent="0.3">
      <c r="A548">
        <v>1000017635</v>
      </c>
      <c r="B548" s="1">
        <f>VLOOKUP(A548,[1]Sheet1!A:B,2,FALSE)</f>
        <v>40571</v>
      </c>
      <c r="C548" s="2">
        <v>0</v>
      </c>
      <c r="D548" s="2">
        <f>SUMIFS([1]Sheet1!D:D,[1]Sheet1!A:A,A548,[1]Sheet1!E:E,"Figurado")</f>
        <v>0</v>
      </c>
      <c r="E548" s="2">
        <f>SUMIFS([1]Sheet1!D:D,[1]Sheet1!A:A,A548,[1]Sheet1!E:E,"Mallas")</f>
        <v>0</v>
      </c>
      <c r="F548" s="2">
        <f>SUMIFS([1]Sheet1!D:D,[1]Sheet1!A:A,A548,[1]Sheet1!E:E,"Materia Prima")</f>
        <v>35610</v>
      </c>
      <c r="G548" s="2">
        <f t="shared" si="32"/>
        <v>0</v>
      </c>
      <c r="H548">
        <f t="shared" si="33"/>
        <v>1</v>
      </c>
      <c r="I548" s="2">
        <f t="shared" si="34"/>
        <v>0</v>
      </c>
      <c r="J548" s="2">
        <f t="shared" si="35"/>
        <v>0</v>
      </c>
    </row>
    <row r="549" spans="1:10" x14ac:dyDescent="0.3">
      <c r="A549">
        <v>1000017570</v>
      </c>
      <c r="B549" s="1">
        <f>VLOOKUP(A549,[1]Sheet1!A:B,2,FALSE)</f>
        <v>40569</v>
      </c>
      <c r="C549" s="2">
        <v>0</v>
      </c>
      <c r="D549" s="2">
        <f>SUMIFS([1]Sheet1!D:D,[1]Sheet1!A:A,A549,[1]Sheet1!E:E,"Figurado")</f>
        <v>0</v>
      </c>
      <c r="E549" s="2">
        <f>SUMIFS([1]Sheet1!D:D,[1]Sheet1!A:A,A549,[1]Sheet1!E:E,"Mallas")</f>
        <v>22895</v>
      </c>
      <c r="F549" s="2">
        <f>SUMIFS([1]Sheet1!D:D,[1]Sheet1!A:A,A549,[1]Sheet1!E:E,"Materia Prima")</f>
        <v>0</v>
      </c>
      <c r="G549" s="2">
        <f t="shared" si="32"/>
        <v>28.618749999999999</v>
      </c>
      <c r="H549">
        <f t="shared" si="33"/>
        <v>1</v>
      </c>
      <c r="I549" s="2">
        <f t="shared" si="34"/>
        <v>0</v>
      </c>
      <c r="J549" s="2">
        <f t="shared" si="35"/>
        <v>28.618749999999999</v>
      </c>
    </row>
    <row r="550" spans="1:10" x14ac:dyDescent="0.3">
      <c r="A550">
        <v>1000017466</v>
      </c>
      <c r="B550" s="1">
        <f>VLOOKUP(A550,[1]Sheet1!A:B,2,FALSE)</f>
        <v>40567</v>
      </c>
      <c r="C550" s="2">
        <v>0</v>
      </c>
      <c r="D550" s="2">
        <f>SUMIFS([1]Sheet1!D:D,[1]Sheet1!A:A,A550,[1]Sheet1!E:E,"Figurado")</f>
        <v>9790.9</v>
      </c>
      <c r="E550" s="2">
        <f>SUMIFS([1]Sheet1!D:D,[1]Sheet1!A:A,A550,[1]Sheet1!E:E,"Mallas")</f>
        <v>0</v>
      </c>
      <c r="F550" s="2">
        <f>SUMIFS([1]Sheet1!D:D,[1]Sheet1!A:A,A550,[1]Sheet1!E:E,"Materia Prima")</f>
        <v>0</v>
      </c>
      <c r="G550" s="2">
        <f t="shared" si="32"/>
        <v>3.7657307692307689</v>
      </c>
      <c r="H550">
        <f t="shared" si="33"/>
        <v>1</v>
      </c>
      <c r="I550" s="2">
        <f t="shared" si="34"/>
        <v>3.7657307692307689</v>
      </c>
      <c r="J550" s="2">
        <f t="shared" si="35"/>
        <v>0</v>
      </c>
    </row>
    <row r="551" spans="1:10" x14ac:dyDescent="0.3">
      <c r="A551">
        <v>1000017472</v>
      </c>
      <c r="B551" s="1">
        <f>VLOOKUP(A551,[1]Sheet1!A:B,2,FALSE)</f>
        <v>40567</v>
      </c>
      <c r="C551" s="2">
        <v>0</v>
      </c>
      <c r="D551" s="2">
        <f>SUMIFS([1]Sheet1!D:D,[1]Sheet1!A:A,A551,[1]Sheet1!E:E,"Figurado")</f>
        <v>0</v>
      </c>
      <c r="E551" s="2">
        <f>SUMIFS([1]Sheet1!D:D,[1]Sheet1!A:A,A551,[1]Sheet1!E:E,"Mallas")</f>
        <v>0</v>
      </c>
      <c r="F551" s="2">
        <f>SUMIFS([1]Sheet1!D:D,[1]Sheet1!A:A,A551,[1]Sheet1!E:E,"Materia Prima")</f>
        <v>307</v>
      </c>
      <c r="G551" s="2">
        <f t="shared" si="32"/>
        <v>0</v>
      </c>
      <c r="H551">
        <f t="shared" si="33"/>
        <v>1</v>
      </c>
      <c r="I551" s="2">
        <f t="shared" si="34"/>
        <v>0</v>
      </c>
      <c r="J551" s="2">
        <f t="shared" si="35"/>
        <v>0</v>
      </c>
    </row>
    <row r="552" spans="1:10" x14ac:dyDescent="0.3">
      <c r="A552">
        <v>1000017475</v>
      </c>
      <c r="B552" s="1">
        <f>VLOOKUP(A552,[1]Sheet1!A:B,2,FALSE)</f>
        <v>40567</v>
      </c>
      <c r="C552" s="2">
        <v>0</v>
      </c>
      <c r="D552" s="2">
        <f>SUMIFS([1]Sheet1!D:D,[1]Sheet1!A:A,A552,[1]Sheet1!E:E,"Figurado")</f>
        <v>0</v>
      </c>
      <c r="E552" s="2">
        <f>SUMIFS([1]Sheet1!D:D,[1]Sheet1!A:A,A552,[1]Sheet1!E:E,"Mallas")</f>
        <v>0</v>
      </c>
      <c r="F552" s="2">
        <f>SUMIFS([1]Sheet1!D:D,[1]Sheet1!A:A,A552,[1]Sheet1!E:E,"Materia Prima")</f>
        <v>296</v>
      </c>
      <c r="G552" s="2">
        <f t="shared" si="32"/>
        <v>0</v>
      </c>
      <c r="H552">
        <f t="shared" si="33"/>
        <v>1</v>
      </c>
      <c r="I552" s="2">
        <f t="shared" si="34"/>
        <v>0</v>
      </c>
      <c r="J552" s="2">
        <f t="shared" si="35"/>
        <v>0</v>
      </c>
    </row>
    <row r="553" spans="1:10" x14ac:dyDescent="0.3">
      <c r="A553">
        <v>1000017476</v>
      </c>
      <c r="B553" s="1">
        <f>VLOOKUP(A553,[1]Sheet1!A:B,2,FALSE)</f>
        <v>40567</v>
      </c>
      <c r="C553" s="2">
        <v>0</v>
      </c>
      <c r="D553" s="2">
        <f>SUMIFS([1]Sheet1!D:D,[1]Sheet1!A:A,A553,[1]Sheet1!E:E,"Figurado")</f>
        <v>0</v>
      </c>
      <c r="E553" s="2">
        <f>SUMIFS([1]Sheet1!D:D,[1]Sheet1!A:A,A553,[1]Sheet1!E:E,"Mallas")</f>
        <v>2074.8000000000002</v>
      </c>
      <c r="F553" s="2">
        <f>SUMIFS([1]Sheet1!D:D,[1]Sheet1!A:A,A553,[1]Sheet1!E:E,"Materia Prima")</f>
        <v>122.2</v>
      </c>
      <c r="G553" s="2">
        <f t="shared" si="32"/>
        <v>2.5935000000000001</v>
      </c>
      <c r="H553">
        <f t="shared" si="33"/>
        <v>2</v>
      </c>
      <c r="I553" s="2">
        <f t="shared" si="34"/>
        <v>0</v>
      </c>
      <c r="J553" s="2">
        <f t="shared" si="35"/>
        <v>2.5935000000000001</v>
      </c>
    </row>
    <row r="554" spans="1:10" x14ac:dyDescent="0.3">
      <c r="A554">
        <v>1000017477</v>
      </c>
      <c r="B554" s="1">
        <f>VLOOKUP(A554,[1]Sheet1!A:B,2,FALSE)</f>
        <v>40567</v>
      </c>
      <c r="C554" s="2">
        <v>0</v>
      </c>
      <c r="D554" s="2">
        <f>SUMIFS([1]Sheet1!D:D,[1]Sheet1!A:A,A554,[1]Sheet1!E:E,"Figurado")</f>
        <v>0</v>
      </c>
      <c r="E554" s="2">
        <f>SUMIFS([1]Sheet1!D:D,[1]Sheet1!A:A,A554,[1]Sheet1!E:E,"Mallas")</f>
        <v>2074.8000000000002</v>
      </c>
      <c r="F554" s="2">
        <f>SUMIFS([1]Sheet1!D:D,[1]Sheet1!A:A,A554,[1]Sheet1!E:E,"Materia Prima")</f>
        <v>122.2</v>
      </c>
      <c r="G554" s="2">
        <f t="shared" si="32"/>
        <v>2.5935000000000001</v>
      </c>
      <c r="H554">
        <f t="shared" si="33"/>
        <v>2</v>
      </c>
      <c r="I554" s="2">
        <f t="shared" si="34"/>
        <v>0</v>
      </c>
      <c r="J554" s="2">
        <f t="shared" si="35"/>
        <v>2.5935000000000001</v>
      </c>
    </row>
    <row r="555" spans="1:10" x14ac:dyDescent="0.3">
      <c r="A555">
        <v>1000017483</v>
      </c>
      <c r="B555" s="1">
        <f>VLOOKUP(A555,[1]Sheet1!A:B,2,FALSE)</f>
        <v>40567</v>
      </c>
      <c r="C555" s="2">
        <v>0</v>
      </c>
      <c r="D555" s="2">
        <f>SUMIFS([1]Sheet1!D:D,[1]Sheet1!A:A,A555,[1]Sheet1!E:E,"Figurado")</f>
        <v>9564.5</v>
      </c>
      <c r="E555" s="2">
        <f>SUMIFS([1]Sheet1!D:D,[1]Sheet1!A:A,A555,[1]Sheet1!E:E,"Mallas")</f>
        <v>0</v>
      </c>
      <c r="F555" s="2">
        <f>SUMIFS([1]Sheet1!D:D,[1]Sheet1!A:A,A555,[1]Sheet1!E:E,"Materia Prima")</f>
        <v>0</v>
      </c>
      <c r="G555" s="2">
        <f t="shared" si="32"/>
        <v>3.6786538461538463</v>
      </c>
      <c r="H555">
        <f t="shared" si="33"/>
        <v>1</v>
      </c>
      <c r="I555" s="2">
        <f t="shared" si="34"/>
        <v>3.6786538461538463</v>
      </c>
      <c r="J555" s="2">
        <f t="shared" si="35"/>
        <v>0</v>
      </c>
    </row>
    <row r="556" spans="1:10" x14ac:dyDescent="0.3">
      <c r="A556">
        <v>1000017488</v>
      </c>
      <c r="B556" s="1">
        <f>VLOOKUP(A556,[1]Sheet1!A:B,2,FALSE)</f>
        <v>40568</v>
      </c>
      <c r="C556" s="2">
        <v>0</v>
      </c>
      <c r="D556" s="2">
        <f>SUMIFS([1]Sheet1!D:D,[1]Sheet1!A:A,A556,[1]Sheet1!E:E,"Figurado")</f>
        <v>478.5</v>
      </c>
      <c r="E556" s="2">
        <f>SUMIFS([1]Sheet1!D:D,[1]Sheet1!A:A,A556,[1]Sheet1!E:E,"Mallas")</f>
        <v>0</v>
      </c>
      <c r="F556" s="2">
        <f>SUMIFS([1]Sheet1!D:D,[1]Sheet1!A:A,A556,[1]Sheet1!E:E,"Materia Prima")</f>
        <v>108</v>
      </c>
      <c r="G556" s="2">
        <f t="shared" si="32"/>
        <v>0.18403846153846154</v>
      </c>
      <c r="H556">
        <f t="shared" si="33"/>
        <v>2</v>
      </c>
      <c r="I556" s="2">
        <f t="shared" si="34"/>
        <v>0.18403846153846154</v>
      </c>
      <c r="J556" s="2">
        <f t="shared" si="35"/>
        <v>0</v>
      </c>
    </row>
    <row r="557" spans="1:10" x14ac:dyDescent="0.3">
      <c r="A557">
        <v>1000017518</v>
      </c>
      <c r="B557" s="1">
        <f>VLOOKUP(A557,[1]Sheet1!A:B,2,FALSE)</f>
        <v>40568</v>
      </c>
      <c r="C557" s="2">
        <v>0</v>
      </c>
      <c r="D557" s="2">
        <f>SUMIFS([1]Sheet1!D:D,[1]Sheet1!A:A,A557,[1]Sheet1!E:E,"Figurado")</f>
        <v>314.5</v>
      </c>
      <c r="E557" s="2">
        <f>SUMIFS([1]Sheet1!D:D,[1]Sheet1!A:A,A557,[1]Sheet1!E:E,"Mallas")</f>
        <v>0</v>
      </c>
      <c r="F557" s="2">
        <f>SUMIFS([1]Sheet1!D:D,[1]Sheet1!A:A,A557,[1]Sheet1!E:E,"Materia Prima")</f>
        <v>0</v>
      </c>
      <c r="G557" s="2">
        <f t="shared" si="32"/>
        <v>0.12096153846153847</v>
      </c>
      <c r="H557">
        <f t="shared" si="33"/>
        <v>1</v>
      </c>
      <c r="I557" s="2">
        <f t="shared" si="34"/>
        <v>0.12096153846153847</v>
      </c>
      <c r="J557" s="2">
        <f t="shared" si="35"/>
        <v>0</v>
      </c>
    </row>
    <row r="558" spans="1:10" x14ac:dyDescent="0.3">
      <c r="A558">
        <v>1000017528</v>
      </c>
      <c r="B558" s="1">
        <f>VLOOKUP(A558,[1]Sheet1!A:B,2,FALSE)</f>
        <v>40569</v>
      </c>
      <c r="C558" s="2">
        <v>0</v>
      </c>
      <c r="D558" s="2">
        <f>SUMIFS([1]Sheet1!D:D,[1]Sheet1!A:A,A558,[1]Sheet1!E:E,"Figurado")</f>
        <v>0</v>
      </c>
      <c r="E558" s="2">
        <f>SUMIFS([1]Sheet1!D:D,[1]Sheet1!A:A,A558,[1]Sheet1!E:E,"Mallas")</f>
        <v>3519.96</v>
      </c>
      <c r="F558" s="2">
        <f>SUMIFS([1]Sheet1!D:D,[1]Sheet1!A:A,A558,[1]Sheet1!E:E,"Materia Prima")</f>
        <v>0</v>
      </c>
      <c r="G558" s="2">
        <f t="shared" si="32"/>
        <v>4.3999500000000005</v>
      </c>
      <c r="H558">
        <f t="shared" si="33"/>
        <v>1</v>
      </c>
      <c r="I558" s="2">
        <f t="shared" si="34"/>
        <v>0</v>
      </c>
      <c r="J558" s="2">
        <f t="shared" si="35"/>
        <v>4.3999500000000005</v>
      </c>
    </row>
    <row r="559" spans="1:10" x14ac:dyDescent="0.3">
      <c r="A559">
        <v>1000017529</v>
      </c>
      <c r="B559" s="1">
        <f>VLOOKUP(A559,[1]Sheet1!A:B,2,FALSE)</f>
        <v>40569</v>
      </c>
      <c r="C559" s="2">
        <v>0</v>
      </c>
      <c r="D559" s="2">
        <f>SUMIFS([1]Sheet1!D:D,[1]Sheet1!A:A,A559,[1]Sheet1!E:E,"Figurado")</f>
        <v>0</v>
      </c>
      <c r="E559" s="2">
        <f>SUMIFS([1]Sheet1!D:D,[1]Sheet1!A:A,A559,[1]Sheet1!E:E,"Mallas")</f>
        <v>1160.52</v>
      </c>
      <c r="F559" s="2">
        <f>SUMIFS([1]Sheet1!D:D,[1]Sheet1!A:A,A559,[1]Sheet1!E:E,"Materia Prima")</f>
        <v>0</v>
      </c>
      <c r="G559" s="2">
        <f t="shared" si="32"/>
        <v>1.45065</v>
      </c>
      <c r="H559">
        <f t="shared" si="33"/>
        <v>1</v>
      </c>
      <c r="I559" s="2">
        <f t="shared" si="34"/>
        <v>0</v>
      </c>
      <c r="J559" s="2">
        <f t="shared" si="35"/>
        <v>1.45065</v>
      </c>
    </row>
    <row r="560" spans="1:10" x14ac:dyDescent="0.3">
      <c r="A560">
        <v>1000017531</v>
      </c>
      <c r="B560" s="1">
        <f>VLOOKUP(A560,[1]Sheet1!A:B,2,FALSE)</f>
        <v>40569</v>
      </c>
      <c r="C560" s="2">
        <v>0</v>
      </c>
      <c r="D560" s="2">
        <f>SUMIFS([1]Sheet1!D:D,[1]Sheet1!A:A,A560,[1]Sheet1!E:E,"Figurado")</f>
        <v>0</v>
      </c>
      <c r="E560" s="2">
        <f>SUMIFS([1]Sheet1!D:D,[1]Sheet1!A:A,A560,[1]Sheet1!E:E,"Mallas")</f>
        <v>359.04</v>
      </c>
      <c r="F560" s="2">
        <f>SUMIFS([1]Sheet1!D:D,[1]Sheet1!A:A,A560,[1]Sheet1!E:E,"Materia Prima")</f>
        <v>0</v>
      </c>
      <c r="G560" s="2">
        <f t="shared" si="32"/>
        <v>0.44880000000000003</v>
      </c>
      <c r="H560">
        <f t="shared" si="33"/>
        <v>1</v>
      </c>
      <c r="I560" s="2">
        <f t="shared" si="34"/>
        <v>0</v>
      </c>
      <c r="J560" s="2">
        <f t="shared" si="35"/>
        <v>0.44880000000000003</v>
      </c>
    </row>
    <row r="561" spans="1:10" x14ac:dyDescent="0.3">
      <c r="A561">
        <v>1000017533</v>
      </c>
      <c r="B561" s="1">
        <f>VLOOKUP(A561,[1]Sheet1!A:B,2,FALSE)</f>
        <v>40569</v>
      </c>
      <c r="C561" s="2">
        <v>0</v>
      </c>
      <c r="D561" s="2">
        <f>SUMIFS([1]Sheet1!D:D,[1]Sheet1!A:A,A561,[1]Sheet1!E:E,"Figurado")</f>
        <v>1544.1</v>
      </c>
      <c r="E561" s="2">
        <f>SUMIFS([1]Sheet1!D:D,[1]Sheet1!A:A,A561,[1]Sheet1!E:E,"Mallas")</f>
        <v>0</v>
      </c>
      <c r="F561" s="2">
        <f>SUMIFS([1]Sheet1!D:D,[1]Sheet1!A:A,A561,[1]Sheet1!E:E,"Materia Prima")</f>
        <v>0</v>
      </c>
      <c r="G561" s="2">
        <f t="shared" si="32"/>
        <v>0.59388461538461534</v>
      </c>
      <c r="H561">
        <f t="shared" si="33"/>
        <v>1</v>
      </c>
      <c r="I561" s="2">
        <f t="shared" si="34"/>
        <v>0.59388461538461534</v>
      </c>
      <c r="J561" s="2">
        <f t="shared" si="35"/>
        <v>0</v>
      </c>
    </row>
    <row r="562" spans="1:10" x14ac:dyDescent="0.3">
      <c r="A562">
        <v>1000017534</v>
      </c>
      <c r="B562" s="1">
        <f>VLOOKUP(A562,[1]Sheet1!A:B,2,FALSE)</f>
        <v>40569</v>
      </c>
      <c r="C562" s="2">
        <v>0</v>
      </c>
      <c r="D562" s="2">
        <f>SUMIFS([1]Sheet1!D:D,[1]Sheet1!A:A,A562,[1]Sheet1!E:E,"Figurado")</f>
        <v>1099.8</v>
      </c>
      <c r="E562" s="2">
        <f>SUMIFS([1]Sheet1!D:D,[1]Sheet1!A:A,A562,[1]Sheet1!E:E,"Mallas")</f>
        <v>0</v>
      </c>
      <c r="F562" s="2">
        <f>SUMIFS([1]Sheet1!D:D,[1]Sheet1!A:A,A562,[1]Sheet1!E:E,"Materia Prima")</f>
        <v>0</v>
      </c>
      <c r="G562" s="2">
        <f t="shared" si="32"/>
        <v>0.42299999999999999</v>
      </c>
      <c r="H562">
        <f t="shared" si="33"/>
        <v>1</v>
      </c>
      <c r="I562" s="2">
        <f t="shared" si="34"/>
        <v>0.42299999999999999</v>
      </c>
      <c r="J562" s="2">
        <f t="shared" si="35"/>
        <v>0</v>
      </c>
    </row>
    <row r="563" spans="1:10" x14ac:dyDescent="0.3">
      <c r="A563">
        <v>1000017535</v>
      </c>
      <c r="B563" s="1">
        <f>VLOOKUP(A563,[1]Sheet1!A:B,2,FALSE)</f>
        <v>40569</v>
      </c>
      <c r="C563" s="2">
        <v>0</v>
      </c>
      <c r="D563" s="2">
        <f>SUMIFS([1]Sheet1!D:D,[1]Sheet1!A:A,A563,[1]Sheet1!E:E,"Figurado")</f>
        <v>0</v>
      </c>
      <c r="E563" s="2">
        <f>SUMIFS([1]Sheet1!D:D,[1]Sheet1!A:A,A563,[1]Sheet1!E:E,"Mallas")</f>
        <v>6285</v>
      </c>
      <c r="F563" s="2">
        <f>SUMIFS([1]Sheet1!D:D,[1]Sheet1!A:A,A563,[1]Sheet1!E:E,"Materia Prima")</f>
        <v>0</v>
      </c>
      <c r="G563" s="2">
        <f t="shared" si="32"/>
        <v>7.8562500000000002</v>
      </c>
      <c r="H563">
        <f t="shared" si="33"/>
        <v>1</v>
      </c>
      <c r="I563" s="2">
        <f t="shared" si="34"/>
        <v>0</v>
      </c>
      <c r="J563" s="2">
        <f t="shared" si="35"/>
        <v>7.8562500000000002</v>
      </c>
    </row>
    <row r="564" spans="1:10" x14ac:dyDescent="0.3">
      <c r="A564">
        <v>1000017539</v>
      </c>
      <c r="B564" s="1">
        <f>VLOOKUP(A564,[1]Sheet1!A:B,2,FALSE)</f>
        <v>40569</v>
      </c>
      <c r="C564" s="2">
        <v>0</v>
      </c>
      <c r="D564" s="2">
        <f>SUMIFS([1]Sheet1!D:D,[1]Sheet1!A:A,A564,[1]Sheet1!E:E,"Figurado")</f>
        <v>0</v>
      </c>
      <c r="E564" s="2">
        <f>SUMIFS([1]Sheet1!D:D,[1]Sheet1!A:A,A564,[1]Sheet1!E:E,"Mallas")</f>
        <v>1128.5999999999999</v>
      </c>
      <c r="F564" s="2">
        <f>SUMIFS([1]Sheet1!D:D,[1]Sheet1!A:A,A564,[1]Sheet1!E:E,"Materia Prima")</f>
        <v>0</v>
      </c>
      <c r="G564" s="2">
        <f t="shared" si="32"/>
        <v>1.4107499999999999</v>
      </c>
      <c r="H564">
        <f t="shared" si="33"/>
        <v>1</v>
      </c>
      <c r="I564" s="2">
        <f t="shared" si="34"/>
        <v>0</v>
      </c>
      <c r="J564" s="2">
        <f t="shared" si="35"/>
        <v>1.4107499999999999</v>
      </c>
    </row>
    <row r="565" spans="1:10" x14ac:dyDescent="0.3">
      <c r="A565">
        <v>1000017541</v>
      </c>
      <c r="B565" s="1">
        <f>VLOOKUP(A565,[1]Sheet1!A:B,2,FALSE)</f>
        <v>40569</v>
      </c>
      <c r="C565" s="2">
        <v>0</v>
      </c>
      <c r="D565" s="2">
        <f>SUMIFS([1]Sheet1!D:D,[1]Sheet1!A:A,A565,[1]Sheet1!E:E,"Figurado")</f>
        <v>0</v>
      </c>
      <c r="E565" s="2">
        <f>SUMIFS([1]Sheet1!D:D,[1]Sheet1!A:A,A565,[1]Sheet1!E:E,"Mallas")</f>
        <v>1128.5999999999999</v>
      </c>
      <c r="F565" s="2">
        <f>SUMIFS([1]Sheet1!D:D,[1]Sheet1!A:A,A565,[1]Sheet1!E:E,"Materia Prima")</f>
        <v>0</v>
      </c>
      <c r="G565" s="2">
        <f t="shared" si="32"/>
        <v>1.4107499999999999</v>
      </c>
      <c r="H565">
        <f t="shared" si="33"/>
        <v>1</v>
      </c>
      <c r="I565" s="2">
        <f t="shared" si="34"/>
        <v>0</v>
      </c>
      <c r="J565" s="2">
        <f t="shared" si="35"/>
        <v>1.4107499999999999</v>
      </c>
    </row>
    <row r="566" spans="1:10" x14ac:dyDescent="0.3">
      <c r="A566">
        <v>1000017542</v>
      </c>
      <c r="B566" s="1">
        <f>VLOOKUP(A566,[1]Sheet1!A:B,2,FALSE)</f>
        <v>40569</v>
      </c>
      <c r="C566" s="2">
        <v>0</v>
      </c>
      <c r="D566" s="2">
        <f>SUMIFS([1]Sheet1!D:D,[1]Sheet1!A:A,A566,[1]Sheet1!E:E,"Figurado")</f>
        <v>1186.9000000000001</v>
      </c>
      <c r="E566" s="2">
        <f>SUMIFS([1]Sheet1!D:D,[1]Sheet1!A:A,A566,[1]Sheet1!E:E,"Mallas")</f>
        <v>0</v>
      </c>
      <c r="F566" s="2">
        <f>SUMIFS([1]Sheet1!D:D,[1]Sheet1!A:A,A566,[1]Sheet1!E:E,"Materia Prima")</f>
        <v>0</v>
      </c>
      <c r="G566" s="2">
        <f t="shared" si="32"/>
        <v>0.45650000000000002</v>
      </c>
      <c r="H566">
        <f t="shared" si="33"/>
        <v>1</v>
      </c>
      <c r="I566" s="2">
        <f t="shared" si="34"/>
        <v>0.45650000000000002</v>
      </c>
      <c r="J566" s="2">
        <f t="shared" si="35"/>
        <v>0</v>
      </c>
    </row>
    <row r="567" spans="1:10" x14ac:dyDescent="0.3">
      <c r="A567">
        <v>1000017544</v>
      </c>
      <c r="B567" s="1">
        <f>VLOOKUP(A567,[1]Sheet1!A:B,2,FALSE)</f>
        <v>40569</v>
      </c>
      <c r="C567" s="2">
        <v>0</v>
      </c>
      <c r="D567" s="2">
        <f>SUMIFS([1]Sheet1!D:D,[1]Sheet1!A:A,A567,[1]Sheet1!E:E,"Figurado")</f>
        <v>0</v>
      </c>
      <c r="E567" s="2">
        <f>SUMIFS([1]Sheet1!D:D,[1]Sheet1!A:A,A567,[1]Sheet1!E:E,"Mallas")</f>
        <v>1128.5999999999999</v>
      </c>
      <c r="F567" s="2">
        <f>SUMIFS([1]Sheet1!D:D,[1]Sheet1!A:A,A567,[1]Sheet1!E:E,"Materia Prima")</f>
        <v>0</v>
      </c>
      <c r="G567" s="2">
        <f t="shared" si="32"/>
        <v>1.4107499999999999</v>
      </c>
      <c r="H567">
        <f t="shared" si="33"/>
        <v>1</v>
      </c>
      <c r="I567" s="2">
        <f t="shared" si="34"/>
        <v>0</v>
      </c>
      <c r="J567" s="2">
        <f t="shared" si="35"/>
        <v>1.4107499999999999</v>
      </c>
    </row>
    <row r="568" spans="1:10" x14ac:dyDescent="0.3">
      <c r="A568">
        <v>1000017546</v>
      </c>
      <c r="B568" s="1">
        <f>VLOOKUP(A568,[1]Sheet1!A:B,2,FALSE)</f>
        <v>40569</v>
      </c>
      <c r="C568" s="2">
        <v>0</v>
      </c>
      <c r="D568" s="2">
        <f>SUMIFS([1]Sheet1!D:D,[1]Sheet1!A:A,A568,[1]Sheet1!E:E,"Figurado")</f>
        <v>0</v>
      </c>
      <c r="E568" s="2">
        <f>SUMIFS([1]Sheet1!D:D,[1]Sheet1!A:A,A568,[1]Sheet1!E:E,"Mallas")</f>
        <v>0</v>
      </c>
      <c r="F568" s="2">
        <f>SUMIFS([1]Sheet1!D:D,[1]Sheet1!A:A,A568,[1]Sheet1!E:E,"Materia Prima")</f>
        <v>1536</v>
      </c>
      <c r="G568" s="2">
        <f t="shared" si="32"/>
        <v>0</v>
      </c>
      <c r="H568">
        <f t="shared" si="33"/>
        <v>1</v>
      </c>
      <c r="I568" s="2">
        <f t="shared" si="34"/>
        <v>0</v>
      </c>
      <c r="J568" s="2">
        <f t="shared" si="35"/>
        <v>0</v>
      </c>
    </row>
    <row r="569" spans="1:10" x14ac:dyDescent="0.3">
      <c r="A569">
        <v>1000017547</v>
      </c>
      <c r="B569" s="1">
        <f>VLOOKUP(A569,[1]Sheet1!A:B,2,FALSE)</f>
        <v>40569</v>
      </c>
      <c r="C569" s="2">
        <v>0</v>
      </c>
      <c r="D569" s="2">
        <f>SUMIFS([1]Sheet1!D:D,[1]Sheet1!A:A,A569,[1]Sheet1!E:E,"Figurado")</f>
        <v>4704.6000000000004</v>
      </c>
      <c r="E569" s="2">
        <f>SUMIFS([1]Sheet1!D:D,[1]Sheet1!A:A,A569,[1]Sheet1!E:E,"Mallas")</f>
        <v>0</v>
      </c>
      <c r="F569" s="2">
        <f>SUMIFS([1]Sheet1!D:D,[1]Sheet1!A:A,A569,[1]Sheet1!E:E,"Materia Prima")</f>
        <v>336</v>
      </c>
      <c r="G569" s="2">
        <f t="shared" si="32"/>
        <v>1.8094615384615387</v>
      </c>
      <c r="H569">
        <f t="shared" si="33"/>
        <v>2</v>
      </c>
      <c r="I569" s="2">
        <f t="shared" si="34"/>
        <v>1.8094615384615387</v>
      </c>
      <c r="J569" s="2">
        <f t="shared" si="35"/>
        <v>0</v>
      </c>
    </row>
    <row r="570" spans="1:10" x14ac:dyDescent="0.3">
      <c r="A570">
        <v>1000017548</v>
      </c>
      <c r="B570" s="1">
        <f>VLOOKUP(A570,[1]Sheet1!A:B,2,FALSE)</f>
        <v>40569</v>
      </c>
      <c r="C570" s="2">
        <v>0</v>
      </c>
      <c r="D570" s="2">
        <f>SUMIFS([1]Sheet1!D:D,[1]Sheet1!A:A,A570,[1]Sheet1!E:E,"Figurado")</f>
        <v>2105</v>
      </c>
      <c r="E570" s="2">
        <f>SUMIFS([1]Sheet1!D:D,[1]Sheet1!A:A,A570,[1]Sheet1!E:E,"Mallas")</f>
        <v>0</v>
      </c>
      <c r="F570" s="2">
        <f>SUMIFS([1]Sheet1!D:D,[1]Sheet1!A:A,A570,[1]Sheet1!E:E,"Materia Prima")</f>
        <v>0</v>
      </c>
      <c r="G570" s="2">
        <f t="shared" si="32"/>
        <v>0.80961538461538463</v>
      </c>
      <c r="H570">
        <f t="shared" si="33"/>
        <v>1</v>
      </c>
      <c r="I570" s="2">
        <f t="shared" si="34"/>
        <v>0.80961538461538463</v>
      </c>
      <c r="J570" s="2">
        <f t="shared" si="35"/>
        <v>0</v>
      </c>
    </row>
    <row r="571" spans="1:10" x14ac:dyDescent="0.3">
      <c r="A571">
        <v>1000017550</v>
      </c>
      <c r="B571" s="1">
        <f>VLOOKUP(A571,[1]Sheet1!A:B,2,FALSE)</f>
        <v>40569</v>
      </c>
      <c r="C571" s="2">
        <v>0</v>
      </c>
      <c r="D571" s="2">
        <f>SUMIFS([1]Sheet1!D:D,[1]Sheet1!A:A,A571,[1]Sheet1!E:E,"Figurado")</f>
        <v>1397.4</v>
      </c>
      <c r="E571" s="2">
        <f>SUMIFS([1]Sheet1!D:D,[1]Sheet1!A:A,A571,[1]Sheet1!E:E,"Mallas")</f>
        <v>0</v>
      </c>
      <c r="F571" s="2">
        <f>SUMIFS([1]Sheet1!D:D,[1]Sheet1!A:A,A571,[1]Sheet1!E:E,"Materia Prima")</f>
        <v>0</v>
      </c>
      <c r="G571" s="2">
        <f t="shared" si="32"/>
        <v>0.53746153846153855</v>
      </c>
      <c r="H571">
        <f t="shared" si="33"/>
        <v>1</v>
      </c>
      <c r="I571" s="2">
        <f t="shared" si="34"/>
        <v>0.53746153846153855</v>
      </c>
      <c r="J571" s="2">
        <f t="shared" si="35"/>
        <v>0</v>
      </c>
    </row>
    <row r="572" spans="1:10" x14ac:dyDescent="0.3">
      <c r="A572">
        <v>1000017551</v>
      </c>
      <c r="B572" s="1">
        <f>VLOOKUP(A572,[1]Sheet1!A:B,2,FALSE)</f>
        <v>40569</v>
      </c>
      <c r="C572" s="2">
        <v>0</v>
      </c>
      <c r="D572" s="2">
        <f>SUMIFS([1]Sheet1!D:D,[1]Sheet1!A:A,A572,[1]Sheet1!E:E,"Figurado")</f>
        <v>1209.9999999999998</v>
      </c>
      <c r="E572" s="2">
        <f>SUMIFS([1]Sheet1!D:D,[1]Sheet1!A:A,A572,[1]Sheet1!E:E,"Mallas")</f>
        <v>0</v>
      </c>
      <c r="F572" s="2">
        <f>SUMIFS([1]Sheet1!D:D,[1]Sheet1!A:A,A572,[1]Sheet1!E:E,"Materia Prima")</f>
        <v>0</v>
      </c>
      <c r="G572" s="2">
        <f t="shared" si="32"/>
        <v>0.46538461538461529</v>
      </c>
      <c r="H572">
        <f t="shared" si="33"/>
        <v>1</v>
      </c>
      <c r="I572" s="2">
        <f t="shared" si="34"/>
        <v>0.46538461538461529</v>
      </c>
      <c r="J572" s="2">
        <f t="shared" si="35"/>
        <v>0</v>
      </c>
    </row>
    <row r="573" spans="1:10" x14ac:dyDescent="0.3">
      <c r="A573">
        <v>1000017558</v>
      </c>
      <c r="B573" s="1">
        <f>VLOOKUP(A573,[1]Sheet1!A:B,2,FALSE)</f>
        <v>40569</v>
      </c>
      <c r="C573" s="2">
        <v>0</v>
      </c>
      <c r="D573" s="2">
        <f>SUMIFS([1]Sheet1!D:D,[1]Sheet1!A:A,A573,[1]Sheet1!E:E,"Figurado")</f>
        <v>2812.5</v>
      </c>
      <c r="E573" s="2">
        <f>SUMIFS([1]Sheet1!D:D,[1]Sheet1!A:A,A573,[1]Sheet1!E:E,"Mallas")</f>
        <v>0</v>
      </c>
      <c r="F573" s="2">
        <f>SUMIFS([1]Sheet1!D:D,[1]Sheet1!A:A,A573,[1]Sheet1!E:E,"Materia Prima")</f>
        <v>0</v>
      </c>
      <c r="G573" s="2">
        <f t="shared" si="32"/>
        <v>1.0817307692307692</v>
      </c>
      <c r="H573">
        <f t="shared" si="33"/>
        <v>1</v>
      </c>
      <c r="I573" s="2">
        <f t="shared" si="34"/>
        <v>1.0817307692307692</v>
      </c>
      <c r="J573" s="2">
        <f t="shared" si="35"/>
        <v>0</v>
      </c>
    </row>
    <row r="574" spans="1:10" x14ac:dyDescent="0.3">
      <c r="A574">
        <v>1000017559</v>
      </c>
      <c r="B574" s="1">
        <f>VLOOKUP(A574,[1]Sheet1!A:B,2,FALSE)</f>
        <v>40569</v>
      </c>
      <c r="C574" s="2">
        <v>0</v>
      </c>
      <c r="D574" s="2">
        <f>SUMIFS([1]Sheet1!D:D,[1]Sheet1!A:A,A574,[1]Sheet1!E:E,"Figurado")</f>
        <v>994.8</v>
      </c>
      <c r="E574" s="2">
        <f>SUMIFS([1]Sheet1!D:D,[1]Sheet1!A:A,A574,[1]Sheet1!E:E,"Mallas")</f>
        <v>0</v>
      </c>
      <c r="F574" s="2">
        <f>SUMIFS([1]Sheet1!D:D,[1]Sheet1!A:A,A574,[1]Sheet1!E:E,"Materia Prima")</f>
        <v>0</v>
      </c>
      <c r="G574" s="2">
        <f t="shared" si="32"/>
        <v>0.38261538461538458</v>
      </c>
      <c r="H574">
        <f t="shared" si="33"/>
        <v>1</v>
      </c>
      <c r="I574" s="2">
        <f t="shared" si="34"/>
        <v>0.38261538461538458</v>
      </c>
      <c r="J574" s="2">
        <f t="shared" si="35"/>
        <v>0</v>
      </c>
    </row>
    <row r="575" spans="1:10" x14ac:dyDescent="0.3">
      <c r="A575">
        <v>1000017560</v>
      </c>
      <c r="B575" s="1">
        <f>VLOOKUP(A575,[1]Sheet1!A:B,2,FALSE)</f>
        <v>40569</v>
      </c>
      <c r="C575" s="2">
        <v>0</v>
      </c>
      <c r="D575" s="2">
        <f>SUMIFS([1]Sheet1!D:D,[1]Sheet1!A:A,A575,[1]Sheet1!E:E,"Figurado")</f>
        <v>892.1</v>
      </c>
      <c r="E575" s="2">
        <f>SUMIFS([1]Sheet1!D:D,[1]Sheet1!A:A,A575,[1]Sheet1!E:E,"Mallas")</f>
        <v>0</v>
      </c>
      <c r="F575" s="2">
        <f>SUMIFS([1]Sheet1!D:D,[1]Sheet1!A:A,A575,[1]Sheet1!E:E,"Materia Prima")</f>
        <v>0</v>
      </c>
      <c r="G575" s="2">
        <f t="shared" si="32"/>
        <v>0.3431153846153846</v>
      </c>
      <c r="H575">
        <f t="shared" si="33"/>
        <v>1</v>
      </c>
      <c r="I575" s="2">
        <f t="shared" si="34"/>
        <v>0.3431153846153846</v>
      </c>
      <c r="J575" s="2">
        <f t="shared" si="35"/>
        <v>0</v>
      </c>
    </row>
    <row r="576" spans="1:10" x14ac:dyDescent="0.3">
      <c r="A576">
        <v>1000017561</v>
      </c>
      <c r="B576" s="1">
        <f>VLOOKUP(A576,[1]Sheet1!A:B,2,FALSE)</f>
        <v>40569</v>
      </c>
      <c r="C576" s="2">
        <v>0</v>
      </c>
      <c r="D576" s="2">
        <f>SUMIFS([1]Sheet1!D:D,[1]Sheet1!A:A,A576,[1]Sheet1!E:E,"Figurado")</f>
        <v>892.1</v>
      </c>
      <c r="E576" s="2">
        <f>SUMIFS([1]Sheet1!D:D,[1]Sheet1!A:A,A576,[1]Sheet1!E:E,"Mallas")</f>
        <v>0</v>
      </c>
      <c r="F576" s="2">
        <f>SUMIFS([1]Sheet1!D:D,[1]Sheet1!A:A,A576,[1]Sheet1!E:E,"Materia Prima")</f>
        <v>0</v>
      </c>
      <c r="G576" s="2">
        <f t="shared" si="32"/>
        <v>0.3431153846153846</v>
      </c>
      <c r="H576">
        <f t="shared" si="33"/>
        <v>1</v>
      </c>
      <c r="I576" s="2">
        <f t="shared" si="34"/>
        <v>0.3431153846153846</v>
      </c>
      <c r="J576" s="2">
        <f t="shared" si="35"/>
        <v>0</v>
      </c>
    </row>
    <row r="577" spans="1:10" x14ac:dyDescent="0.3">
      <c r="A577">
        <v>1000017562</v>
      </c>
      <c r="B577" s="1">
        <f>VLOOKUP(A577,[1]Sheet1!A:B,2,FALSE)</f>
        <v>40569</v>
      </c>
      <c r="C577" s="2">
        <v>0</v>
      </c>
      <c r="D577" s="2">
        <f>SUMIFS([1]Sheet1!D:D,[1]Sheet1!A:A,A577,[1]Sheet1!E:E,"Figurado")</f>
        <v>2812</v>
      </c>
      <c r="E577" s="2">
        <f>SUMIFS([1]Sheet1!D:D,[1]Sheet1!A:A,A577,[1]Sheet1!E:E,"Mallas")</f>
        <v>0</v>
      </c>
      <c r="F577" s="2">
        <f>SUMIFS([1]Sheet1!D:D,[1]Sheet1!A:A,A577,[1]Sheet1!E:E,"Materia Prima")</f>
        <v>0</v>
      </c>
      <c r="G577" s="2">
        <f t="shared" si="32"/>
        <v>1.0815384615384616</v>
      </c>
      <c r="H577">
        <f t="shared" si="33"/>
        <v>1</v>
      </c>
      <c r="I577" s="2">
        <f t="shared" si="34"/>
        <v>1.0815384615384616</v>
      </c>
      <c r="J577" s="2">
        <f t="shared" si="35"/>
        <v>0</v>
      </c>
    </row>
    <row r="578" spans="1:10" x14ac:dyDescent="0.3">
      <c r="A578">
        <v>1000017563</v>
      </c>
      <c r="B578" s="1">
        <f>VLOOKUP(A578,[1]Sheet1!A:B,2,FALSE)</f>
        <v>40569</v>
      </c>
      <c r="C578" s="2">
        <v>0</v>
      </c>
      <c r="D578" s="2">
        <f>SUMIFS([1]Sheet1!D:D,[1]Sheet1!A:A,A578,[1]Sheet1!E:E,"Figurado")</f>
        <v>0</v>
      </c>
      <c r="E578" s="2">
        <f>SUMIFS([1]Sheet1!D:D,[1]Sheet1!A:A,A578,[1]Sheet1!E:E,"Mallas")</f>
        <v>0</v>
      </c>
      <c r="F578" s="2">
        <f>SUMIFS([1]Sheet1!D:D,[1]Sheet1!A:A,A578,[1]Sheet1!E:E,"Materia Prima")</f>
        <v>1344</v>
      </c>
      <c r="G578" s="2">
        <f t="shared" si="32"/>
        <v>0</v>
      </c>
      <c r="H578">
        <f t="shared" si="33"/>
        <v>1</v>
      </c>
      <c r="I578" s="2">
        <f t="shared" si="34"/>
        <v>0</v>
      </c>
      <c r="J578" s="2">
        <f t="shared" si="35"/>
        <v>0</v>
      </c>
    </row>
    <row r="579" spans="1:10" x14ac:dyDescent="0.3">
      <c r="A579">
        <v>1000017566</v>
      </c>
      <c r="B579" s="1">
        <f>VLOOKUP(A579,[1]Sheet1!A:B,2,FALSE)</f>
        <v>40569</v>
      </c>
      <c r="C579" s="2">
        <v>0</v>
      </c>
      <c r="D579" s="2">
        <f>SUMIFS([1]Sheet1!D:D,[1]Sheet1!A:A,A579,[1]Sheet1!E:E,"Figurado")</f>
        <v>0</v>
      </c>
      <c r="E579" s="2">
        <f>SUMIFS([1]Sheet1!D:D,[1]Sheet1!A:A,A579,[1]Sheet1!E:E,"Mallas")</f>
        <v>690</v>
      </c>
      <c r="F579" s="2">
        <f>SUMIFS([1]Sheet1!D:D,[1]Sheet1!A:A,A579,[1]Sheet1!E:E,"Materia Prima")</f>
        <v>0</v>
      </c>
      <c r="G579" s="2">
        <f t="shared" ref="G579:G642" si="36">(D579/2600)+(E579/800)</f>
        <v>0.86250000000000004</v>
      </c>
      <c r="H579">
        <f t="shared" ref="H579:H642" si="37">(IF(D579&gt;0,1,0) + IF(E579&gt;0,1,0) + IF(F579&gt;0,1,0))</f>
        <v>1</v>
      </c>
      <c r="I579" s="2">
        <f t="shared" ref="I579:I642" si="38">D579/2600</f>
        <v>0</v>
      </c>
      <c r="J579" s="2">
        <f t="shared" ref="J579:J642" si="39">E579/800</f>
        <v>0.86250000000000004</v>
      </c>
    </row>
    <row r="580" spans="1:10" x14ac:dyDescent="0.3">
      <c r="A580">
        <v>1000017567</v>
      </c>
      <c r="B580" s="1">
        <f>VLOOKUP(A580,[1]Sheet1!A:B,2,FALSE)</f>
        <v>40569</v>
      </c>
      <c r="C580" s="2">
        <v>0</v>
      </c>
      <c r="D580" s="2">
        <f>SUMIFS([1]Sheet1!D:D,[1]Sheet1!A:A,A580,[1]Sheet1!E:E,"Figurado")</f>
        <v>0</v>
      </c>
      <c r="E580" s="2">
        <f>SUMIFS([1]Sheet1!D:D,[1]Sheet1!A:A,A580,[1]Sheet1!E:E,"Mallas")</f>
        <v>690</v>
      </c>
      <c r="F580" s="2">
        <f>SUMIFS([1]Sheet1!D:D,[1]Sheet1!A:A,A580,[1]Sheet1!E:E,"Materia Prima")</f>
        <v>0</v>
      </c>
      <c r="G580" s="2">
        <f t="shared" si="36"/>
        <v>0.86250000000000004</v>
      </c>
      <c r="H580">
        <f t="shared" si="37"/>
        <v>1</v>
      </c>
      <c r="I580" s="2">
        <f t="shared" si="38"/>
        <v>0</v>
      </c>
      <c r="J580" s="2">
        <f t="shared" si="39"/>
        <v>0.86250000000000004</v>
      </c>
    </row>
    <row r="581" spans="1:10" x14ac:dyDescent="0.3">
      <c r="A581">
        <v>1000017568</v>
      </c>
      <c r="B581" s="1">
        <f>VLOOKUP(A581,[1]Sheet1!A:B,2,FALSE)</f>
        <v>40569</v>
      </c>
      <c r="C581" s="2">
        <v>0</v>
      </c>
      <c r="D581" s="2">
        <f>SUMIFS([1]Sheet1!D:D,[1]Sheet1!A:A,A581,[1]Sheet1!E:E,"Figurado")</f>
        <v>0</v>
      </c>
      <c r="E581" s="2">
        <f>SUMIFS([1]Sheet1!D:D,[1]Sheet1!A:A,A581,[1]Sheet1!E:E,"Mallas")</f>
        <v>690</v>
      </c>
      <c r="F581" s="2">
        <f>SUMIFS([1]Sheet1!D:D,[1]Sheet1!A:A,A581,[1]Sheet1!E:E,"Materia Prima")</f>
        <v>0</v>
      </c>
      <c r="G581" s="2">
        <f t="shared" si="36"/>
        <v>0.86250000000000004</v>
      </c>
      <c r="H581">
        <f t="shared" si="37"/>
        <v>1</v>
      </c>
      <c r="I581" s="2">
        <f t="shared" si="38"/>
        <v>0</v>
      </c>
      <c r="J581" s="2">
        <f t="shared" si="39"/>
        <v>0.86250000000000004</v>
      </c>
    </row>
    <row r="582" spans="1:10" x14ac:dyDescent="0.3">
      <c r="A582">
        <v>1000017578</v>
      </c>
      <c r="B582" s="1">
        <f>VLOOKUP(A582,[1]Sheet1!A:B,2,FALSE)</f>
        <v>40570</v>
      </c>
      <c r="C582" s="2">
        <v>0</v>
      </c>
      <c r="D582" s="2">
        <f>SUMIFS([1]Sheet1!D:D,[1]Sheet1!A:A,A582,[1]Sheet1!E:E,"Figurado")</f>
        <v>4079.9</v>
      </c>
      <c r="E582" s="2">
        <f>SUMIFS([1]Sheet1!D:D,[1]Sheet1!A:A,A582,[1]Sheet1!E:E,"Mallas")</f>
        <v>0</v>
      </c>
      <c r="F582" s="2">
        <f>SUMIFS([1]Sheet1!D:D,[1]Sheet1!A:A,A582,[1]Sheet1!E:E,"Materia Prima")</f>
        <v>0</v>
      </c>
      <c r="G582" s="2">
        <f t="shared" si="36"/>
        <v>1.5691923076923078</v>
      </c>
      <c r="H582">
        <f t="shared" si="37"/>
        <v>1</v>
      </c>
      <c r="I582" s="2">
        <f t="shared" si="38"/>
        <v>1.5691923076923078</v>
      </c>
      <c r="J582" s="2">
        <f t="shared" si="39"/>
        <v>0</v>
      </c>
    </row>
    <row r="583" spans="1:10" x14ac:dyDescent="0.3">
      <c r="A583">
        <v>1000017579</v>
      </c>
      <c r="B583" s="1">
        <f>VLOOKUP(A583,[1]Sheet1!A:B,2,FALSE)</f>
        <v>40570</v>
      </c>
      <c r="C583" s="2">
        <v>0</v>
      </c>
      <c r="D583" s="2">
        <f>SUMIFS([1]Sheet1!D:D,[1]Sheet1!A:A,A583,[1]Sheet1!E:E,"Figurado")</f>
        <v>998.5</v>
      </c>
      <c r="E583" s="2">
        <f>SUMIFS([1]Sheet1!D:D,[1]Sheet1!A:A,A583,[1]Sheet1!E:E,"Mallas")</f>
        <v>0</v>
      </c>
      <c r="F583" s="2">
        <f>SUMIFS([1]Sheet1!D:D,[1]Sheet1!A:A,A583,[1]Sheet1!E:E,"Materia Prima")</f>
        <v>0</v>
      </c>
      <c r="G583" s="2">
        <f t="shared" si="36"/>
        <v>0.38403846153846155</v>
      </c>
      <c r="H583">
        <f t="shared" si="37"/>
        <v>1</v>
      </c>
      <c r="I583" s="2">
        <f t="shared" si="38"/>
        <v>0.38403846153846155</v>
      </c>
      <c r="J583" s="2">
        <f t="shared" si="39"/>
        <v>0</v>
      </c>
    </row>
    <row r="584" spans="1:10" x14ac:dyDescent="0.3">
      <c r="A584">
        <v>1000017580</v>
      </c>
      <c r="B584" s="1">
        <f>VLOOKUP(A584,[1]Sheet1!A:B,2,FALSE)</f>
        <v>40570</v>
      </c>
      <c r="C584" s="2">
        <v>0</v>
      </c>
      <c r="D584" s="2">
        <f>SUMIFS([1]Sheet1!D:D,[1]Sheet1!A:A,A584,[1]Sheet1!E:E,"Figurado")</f>
        <v>998.5</v>
      </c>
      <c r="E584" s="2">
        <f>SUMIFS([1]Sheet1!D:D,[1]Sheet1!A:A,A584,[1]Sheet1!E:E,"Mallas")</f>
        <v>0</v>
      </c>
      <c r="F584" s="2">
        <f>SUMIFS([1]Sheet1!D:D,[1]Sheet1!A:A,A584,[1]Sheet1!E:E,"Materia Prima")</f>
        <v>0</v>
      </c>
      <c r="G584" s="2">
        <f t="shared" si="36"/>
        <v>0.38403846153846155</v>
      </c>
      <c r="H584">
        <f t="shared" si="37"/>
        <v>1</v>
      </c>
      <c r="I584" s="2">
        <f t="shared" si="38"/>
        <v>0.38403846153846155</v>
      </c>
      <c r="J584" s="2">
        <f t="shared" si="39"/>
        <v>0</v>
      </c>
    </row>
    <row r="585" spans="1:10" x14ac:dyDescent="0.3">
      <c r="A585">
        <v>1000017581</v>
      </c>
      <c r="B585" s="1">
        <f>VLOOKUP(A585,[1]Sheet1!A:B,2,FALSE)</f>
        <v>40570</v>
      </c>
      <c r="C585" s="2">
        <v>0</v>
      </c>
      <c r="D585" s="2">
        <f>SUMIFS([1]Sheet1!D:D,[1]Sheet1!A:A,A585,[1]Sheet1!E:E,"Figurado")</f>
        <v>2557.6999999999998</v>
      </c>
      <c r="E585" s="2">
        <f>SUMIFS([1]Sheet1!D:D,[1]Sheet1!A:A,A585,[1]Sheet1!E:E,"Mallas")</f>
        <v>0</v>
      </c>
      <c r="F585" s="2">
        <f>SUMIFS([1]Sheet1!D:D,[1]Sheet1!A:A,A585,[1]Sheet1!E:E,"Materia Prima")</f>
        <v>0</v>
      </c>
      <c r="G585" s="2">
        <f t="shared" si="36"/>
        <v>0.98373076923076919</v>
      </c>
      <c r="H585">
        <f t="shared" si="37"/>
        <v>1</v>
      </c>
      <c r="I585" s="2">
        <f t="shared" si="38"/>
        <v>0.98373076923076919</v>
      </c>
      <c r="J585" s="2">
        <f t="shared" si="39"/>
        <v>0</v>
      </c>
    </row>
    <row r="586" spans="1:10" x14ac:dyDescent="0.3">
      <c r="A586">
        <v>1000017582</v>
      </c>
      <c r="B586" s="1">
        <f>VLOOKUP(A586,[1]Sheet1!A:B,2,FALSE)</f>
        <v>40570</v>
      </c>
      <c r="C586" s="2">
        <v>0</v>
      </c>
      <c r="D586" s="2">
        <f>SUMIFS([1]Sheet1!D:D,[1]Sheet1!A:A,A586,[1]Sheet1!E:E,"Figurado")</f>
        <v>1684.6000000000001</v>
      </c>
      <c r="E586" s="2">
        <f>SUMIFS([1]Sheet1!D:D,[1]Sheet1!A:A,A586,[1]Sheet1!E:E,"Mallas")</f>
        <v>0</v>
      </c>
      <c r="F586" s="2">
        <f>SUMIFS([1]Sheet1!D:D,[1]Sheet1!A:A,A586,[1]Sheet1!E:E,"Materia Prima")</f>
        <v>0</v>
      </c>
      <c r="G586" s="2">
        <f t="shared" si="36"/>
        <v>0.64792307692307693</v>
      </c>
      <c r="H586">
        <f t="shared" si="37"/>
        <v>1</v>
      </c>
      <c r="I586" s="2">
        <f t="shared" si="38"/>
        <v>0.64792307692307693</v>
      </c>
      <c r="J586" s="2">
        <f t="shared" si="39"/>
        <v>0</v>
      </c>
    </row>
    <row r="587" spans="1:10" x14ac:dyDescent="0.3">
      <c r="A587">
        <v>1000017589</v>
      </c>
      <c r="B587" s="1">
        <f>VLOOKUP(A587,[1]Sheet1!A:B,2,FALSE)</f>
        <v>40570</v>
      </c>
      <c r="C587" s="2">
        <v>0</v>
      </c>
      <c r="D587" s="2">
        <f>SUMIFS([1]Sheet1!D:D,[1]Sheet1!A:A,A587,[1]Sheet1!E:E,"Figurado")</f>
        <v>0</v>
      </c>
      <c r="E587" s="2">
        <f>SUMIFS([1]Sheet1!D:D,[1]Sheet1!A:A,A587,[1]Sheet1!E:E,"Mallas")</f>
        <v>0</v>
      </c>
      <c r="F587" s="2">
        <f>SUMIFS([1]Sheet1!D:D,[1]Sheet1!A:A,A587,[1]Sheet1!E:E,"Materia Prima")</f>
        <v>500</v>
      </c>
      <c r="G587" s="2">
        <f t="shared" si="36"/>
        <v>0</v>
      </c>
      <c r="H587">
        <f t="shared" si="37"/>
        <v>1</v>
      </c>
      <c r="I587" s="2">
        <f t="shared" si="38"/>
        <v>0</v>
      </c>
      <c r="J587" s="2">
        <f t="shared" si="39"/>
        <v>0</v>
      </c>
    </row>
    <row r="588" spans="1:10" x14ac:dyDescent="0.3">
      <c r="A588">
        <v>1000017590</v>
      </c>
      <c r="B588" s="1">
        <f>VLOOKUP(A588,[1]Sheet1!A:B,2,FALSE)</f>
        <v>40570</v>
      </c>
      <c r="C588" s="2">
        <v>0</v>
      </c>
      <c r="D588" s="2">
        <f>SUMIFS([1]Sheet1!D:D,[1]Sheet1!A:A,A588,[1]Sheet1!E:E,"Figurado")</f>
        <v>4797.3999999999996</v>
      </c>
      <c r="E588" s="2">
        <f>SUMIFS([1]Sheet1!D:D,[1]Sheet1!A:A,A588,[1]Sheet1!E:E,"Mallas")</f>
        <v>0</v>
      </c>
      <c r="F588" s="2">
        <f>SUMIFS([1]Sheet1!D:D,[1]Sheet1!A:A,A588,[1]Sheet1!E:E,"Materia Prima")</f>
        <v>0</v>
      </c>
      <c r="G588" s="2">
        <f t="shared" si="36"/>
        <v>1.8451538461538459</v>
      </c>
      <c r="H588">
        <f t="shared" si="37"/>
        <v>1</v>
      </c>
      <c r="I588" s="2">
        <f t="shared" si="38"/>
        <v>1.8451538461538459</v>
      </c>
      <c r="J588" s="2">
        <f t="shared" si="39"/>
        <v>0</v>
      </c>
    </row>
    <row r="589" spans="1:10" x14ac:dyDescent="0.3">
      <c r="A589">
        <v>1000017591</v>
      </c>
      <c r="B589" s="1">
        <f>VLOOKUP(A589,[1]Sheet1!A:B,2,FALSE)</f>
        <v>40570</v>
      </c>
      <c r="C589" s="2">
        <v>0</v>
      </c>
      <c r="D589" s="2">
        <f>SUMIFS([1]Sheet1!D:D,[1]Sheet1!A:A,A589,[1]Sheet1!E:E,"Figurado")</f>
        <v>2910.9</v>
      </c>
      <c r="E589" s="2">
        <f>SUMIFS([1]Sheet1!D:D,[1]Sheet1!A:A,A589,[1]Sheet1!E:E,"Mallas")</f>
        <v>0</v>
      </c>
      <c r="F589" s="2">
        <f>SUMIFS([1]Sheet1!D:D,[1]Sheet1!A:A,A589,[1]Sheet1!E:E,"Materia Prima")</f>
        <v>2090.5</v>
      </c>
      <c r="G589" s="2">
        <f t="shared" si="36"/>
        <v>1.119576923076923</v>
      </c>
      <c r="H589">
        <f t="shared" si="37"/>
        <v>2</v>
      </c>
      <c r="I589" s="2">
        <f t="shared" si="38"/>
        <v>1.119576923076923</v>
      </c>
      <c r="J589" s="2">
        <f t="shared" si="39"/>
        <v>0</v>
      </c>
    </row>
    <row r="590" spans="1:10" x14ac:dyDescent="0.3">
      <c r="A590">
        <v>1000017592</v>
      </c>
      <c r="B590" s="1">
        <f>VLOOKUP(A590,[1]Sheet1!A:B,2,FALSE)</f>
        <v>40570</v>
      </c>
      <c r="C590" s="2">
        <v>0</v>
      </c>
      <c r="D590" s="2">
        <f>SUMIFS([1]Sheet1!D:D,[1]Sheet1!A:A,A590,[1]Sheet1!E:E,"Figurado")</f>
        <v>476</v>
      </c>
      <c r="E590" s="2">
        <f>SUMIFS([1]Sheet1!D:D,[1]Sheet1!A:A,A590,[1]Sheet1!E:E,"Mallas")</f>
        <v>0</v>
      </c>
      <c r="F590" s="2">
        <f>SUMIFS([1]Sheet1!D:D,[1]Sheet1!A:A,A590,[1]Sheet1!E:E,"Materia Prima")</f>
        <v>0</v>
      </c>
      <c r="G590" s="2">
        <f t="shared" si="36"/>
        <v>0.18307692307692308</v>
      </c>
      <c r="H590">
        <f t="shared" si="37"/>
        <v>1</v>
      </c>
      <c r="I590" s="2">
        <f t="shared" si="38"/>
        <v>0.18307692307692308</v>
      </c>
      <c r="J590" s="2">
        <f t="shared" si="39"/>
        <v>0</v>
      </c>
    </row>
    <row r="591" spans="1:10" x14ac:dyDescent="0.3">
      <c r="A591">
        <v>1000017593</v>
      </c>
      <c r="B591" s="1">
        <f>VLOOKUP(A591,[1]Sheet1!A:B,2,FALSE)</f>
        <v>40570</v>
      </c>
      <c r="C591" s="2">
        <v>0</v>
      </c>
      <c r="D591" s="2">
        <f>SUMIFS([1]Sheet1!D:D,[1]Sheet1!A:A,A591,[1]Sheet1!E:E,"Figurado")</f>
        <v>2989.9</v>
      </c>
      <c r="E591" s="2">
        <f>SUMIFS([1]Sheet1!D:D,[1]Sheet1!A:A,A591,[1]Sheet1!E:E,"Mallas")</f>
        <v>0</v>
      </c>
      <c r="F591" s="2">
        <f>SUMIFS([1]Sheet1!D:D,[1]Sheet1!A:A,A591,[1]Sheet1!E:E,"Materia Prima")</f>
        <v>0</v>
      </c>
      <c r="G591" s="2">
        <f t="shared" si="36"/>
        <v>1.1499615384615385</v>
      </c>
      <c r="H591">
        <f t="shared" si="37"/>
        <v>1</v>
      </c>
      <c r="I591" s="2">
        <f t="shared" si="38"/>
        <v>1.1499615384615385</v>
      </c>
      <c r="J591" s="2">
        <f t="shared" si="39"/>
        <v>0</v>
      </c>
    </row>
    <row r="592" spans="1:10" x14ac:dyDescent="0.3">
      <c r="A592">
        <v>1000017594</v>
      </c>
      <c r="B592" s="1">
        <f>VLOOKUP(A592,[1]Sheet1!A:B,2,FALSE)</f>
        <v>40570</v>
      </c>
      <c r="C592" s="2">
        <v>0</v>
      </c>
      <c r="D592" s="2">
        <f>SUMIFS([1]Sheet1!D:D,[1]Sheet1!A:A,A592,[1]Sheet1!E:E,"Figurado")</f>
        <v>6622.1</v>
      </c>
      <c r="E592" s="2">
        <f>SUMIFS([1]Sheet1!D:D,[1]Sheet1!A:A,A592,[1]Sheet1!E:E,"Mallas")</f>
        <v>0</v>
      </c>
      <c r="F592" s="2">
        <f>SUMIFS([1]Sheet1!D:D,[1]Sheet1!A:A,A592,[1]Sheet1!E:E,"Materia Prima")</f>
        <v>0</v>
      </c>
      <c r="G592" s="2">
        <f t="shared" si="36"/>
        <v>2.5469615384615385</v>
      </c>
      <c r="H592">
        <f t="shared" si="37"/>
        <v>1</v>
      </c>
      <c r="I592" s="2">
        <f t="shared" si="38"/>
        <v>2.5469615384615385</v>
      </c>
      <c r="J592" s="2">
        <f t="shared" si="39"/>
        <v>0</v>
      </c>
    </row>
    <row r="593" spans="1:10" x14ac:dyDescent="0.3">
      <c r="A593">
        <v>1000017595</v>
      </c>
      <c r="B593" s="1">
        <f>VLOOKUP(A593,[1]Sheet1!A:B,2,FALSE)</f>
        <v>40570</v>
      </c>
      <c r="C593" s="2">
        <v>0</v>
      </c>
      <c r="D593" s="2">
        <f>SUMIFS([1]Sheet1!D:D,[1]Sheet1!A:A,A593,[1]Sheet1!E:E,"Figurado")</f>
        <v>0</v>
      </c>
      <c r="E593" s="2">
        <f>SUMIFS([1]Sheet1!D:D,[1]Sheet1!A:A,A593,[1]Sheet1!E:E,"Mallas")</f>
        <v>974</v>
      </c>
      <c r="F593" s="2">
        <f>SUMIFS([1]Sheet1!D:D,[1]Sheet1!A:A,A593,[1]Sheet1!E:E,"Materia Prima")</f>
        <v>0</v>
      </c>
      <c r="G593" s="2">
        <f t="shared" si="36"/>
        <v>1.2175</v>
      </c>
      <c r="H593">
        <f t="shared" si="37"/>
        <v>1</v>
      </c>
      <c r="I593" s="2">
        <f t="shared" si="38"/>
        <v>0</v>
      </c>
      <c r="J593" s="2">
        <f t="shared" si="39"/>
        <v>1.2175</v>
      </c>
    </row>
    <row r="594" spans="1:10" x14ac:dyDescent="0.3">
      <c r="A594">
        <v>1000017597</v>
      </c>
      <c r="B594" s="1">
        <f>VLOOKUP(A594,[1]Sheet1!A:B,2,FALSE)</f>
        <v>40570</v>
      </c>
      <c r="C594" s="2">
        <v>0</v>
      </c>
      <c r="D594" s="2">
        <f>SUMIFS([1]Sheet1!D:D,[1]Sheet1!A:A,A594,[1]Sheet1!E:E,"Figurado")</f>
        <v>180</v>
      </c>
      <c r="E594" s="2">
        <f>SUMIFS([1]Sheet1!D:D,[1]Sheet1!A:A,A594,[1]Sheet1!E:E,"Mallas")</f>
        <v>0</v>
      </c>
      <c r="F594" s="2">
        <f>SUMIFS([1]Sheet1!D:D,[1]Sheet1!A:A,A594,[1]Sheet1!E:E,"Materia Prima")</f>
        <v>336</v>
      </c>
      <c r="G594" s="2">
        <f t="shared" si="36"/>
        <v>6.9230769230769235E-2</v>
      </c>
      <c r="H594">
        <f t="shared" si="37"/>
        <v>2</v>
      </c>
      <c r="I594" s="2">
        <f t="shared" si="38"/>
        <v>6.9230769230769235E-2</v>
      </c>
      <c r="J594" s="2">
        <f t="shared" si="39"/>
        <v>0</v>
      </c>
    </row>
    <row r="595" spans="1:10" x14ac:dyDescent="0.3">
      <c r="A595">
        <v>1000017599</v>
      </c>
      <c r="B595" s="1">
        <f>VLOOKUP(A595,[1]Sheet1!A:B,2,FALSE)</f>
        <v>40570</v>
      </c>
      <c r="C595" s="2">
        <v>0</v>
      </c>
      <c r="D595" s="2">
        <f>SUMIFS([1]Sheet1!D:D,[1]Sheet1!A:A,A595,[1]Sheet1!E:E,"Figurado")</f>
        <v>9479.9</v>
      </c>
      <c r="E595" s="2">
        <f>SUMIFS([1]Sheet1!D:D,[1]Sheet1!A:A,A595,[1]Sheet1!E:E,"Mallas")</f>
        <v>0</v>
      </c>
      <c r="F595" s="2">
        <f>SUMIFS([1]Sheet1!D:D,[1]Sheet1!A:A,A595,[1]Sheet1!E:E,"Materia Prima")</f>
        <v>0</v>
      </c>
      <c r="G595" s="2">
        <f t="shared" si="36"/>
        <v>3.6461153846153844</v>
      </c>
      <c r="H595">
        <f t="shared" si="37"/>
        <v>1</v>
      </c>
      <c r="I595" s="2">
        <f t="shared" si="38"/>
        <v>3.6461153846153844</v>
      </c>
      <c r="J595" s="2">
        <f t="shared" si="39"/>
        <v>0</v>
      </c>
    </row>
    <row r="596" spans="1:10" x14ac:dyDescent="0.3">
      <c r="A596">
        <v>1000017600</v>
      </c>
      <c r="B596" s="1">
        <f>VLOOKUP(A596,[1]Sheet1!A:B,2,FALSE)</f>
        <v>40570</v>
      </c>
      <c r="C596" s="2">
        <v>0</v>
      </c>
      <c r="D596" s="2">
        <f>SUMIFS([1]Sheet1!D:D,[1]Sheet1!A:A,A596,[1]Sheet1!E:E,"Figurado")</f>
        <v>3133.4</v>
      </c>
      <c r="E596" s="2">
        <f>SUMIFS([1]Sheet1!D:D,[1]Sheet1!A:A,A596,[1]Sheet1!E:E,"Mallas")</f>
        <v>0</v>
      </c>
      <c r="F596" s="2">
        <f>SUMIFS([1]Sheet1!D:D,[1]Sheet1!A:A,A596,[1]Sheet1!E:E,"Materia Prima")</f>
        <v>0</v>
      </c>
      <c r="G596" s="2">
        <f t="shared" si="36"/>
        <v>1.2051538461538462</v>
      </c>
      <c r="H596">
        <f t="shared" si="37"/>
        <v>1</v>
      </c>
      <c r="I596" s="2">
        <f t="shared" si="38"/>
        <v>1.2051538461538462</v>
      </c>
      <c r="J596" s="2">
        <f t="shared" si="39"/>
        <v>0</v>
      </c>
    </row>
    <row r="597" spans="1:10" x14ac:dyDescent="0.3">
      <c r="A597">
        <v>1000017601</v>
      </c>
      <c r="B597" s="1">
        <f>VLOOKUP(A597,[1]Sheet1!A:B,2,FALSE)</f>
        <v>40570</v>
      </c>
      <c r="C597" s="2">
        <v>0</v>
      </c>
      <c r="D597" s="2">
        <f>SUMIFS([1]Sheet1!D:D,[1]Sheet1!A:A,A597,[1]Sheet1!E:E,"Figurado")</f>
        <v>7058.1</v>
      </c>
      <c r="E597" s="2">
        <f>SUMIFS([1]Sheet1!D:D,[1]Sheet1!A:A,A597,[1]Sheet1!E:E,"Mallas")</f>
        <v>0</v>
      </c>
      <c r="F597" s="2">
        <f>SUMIFS([1]Sheet1!D:D,[1]Sheet1!A:A,A597,[1]Sheet1!E:E,"Materia Prima")</f>
        <v>0</v>
      </c>
      <c r="G597" s="2">
        <f t="shared" si="36"/>
        <v>2.7146538461538463</v>
      </c>
      <c r="H597">
        <f t="shared" si="37"/>
        <v>1</v>
      </c>
      <c r="I597" s="2">
        <f t="shared" si="38"/>
        <v>2.7146538461538463</v>
      </c>
      <c r="J597" s="2">
        <f t="shared" si="39"/>
        <v>0</v>
      </c>
    </row>
    <row r="598" spans="1:10" x14ac:dyDescent="0.3">
      <c r="A598">
        <v>1000017602</v>
      </c>
      <c r="B598" s="1">
        <f>VLOOKUP(A598,[1]Sheet1!A:B,2,FALSE)</f>
        <v>40570</v>
      </c>
      <c r="C598" s="2">
        <v>0</v>
      </c>
      <c r="D598" s="2">
        <f>SUMIFS([1]Sheet1!D:D,[1]Sheet1!A:A,A598,[1]Sheet1!E:E,"Figurado")</f>
        <v>3257.3</v>
      </c>
      <c r="E598" s="2">
        <f>SUMIFS([1]Sheet1!D:D,[1]Sheet1!A:A,A598,[1]Sheet1!E:E,"Mallas")</f>
        <v>0</v>
      </c>
      <c r="F598" s="2">
        <f>SUMIFS([1]Sheet1!D:D,[1]Sheet1!A:A,A598,[1]Sheet1!E:E,"Materia Prima")</f>
        <v>0</v>
      </c>
      <c r="G598" s="2">
        <f t="shared" si="36"/>
        <v>1.2528076923076923</v>
      </c>
      <c r="H598">
        <f t="shared" si="37"/>
        <v>1</v>
      </c>
      <c r="I598" s="2">
        <f t="shared" si="38"/>
        <v>1.2528076923076923</v>
      </c>
      <c r="J598" s="2">
        <f t="shared" si="39"/>
        <v>0</v>
      </c>
    </row>
    <row r="599" spans="1:10" x14ac:dyDescent="0.3">
      <c r="A599">
        <v>1000017603</v>
      </c>
      <c r="B599" s="1">
        <f>VLOOKUP(A599,[1]Sheet1!A:B,2,FALSE)</f>
        <v>40570</v>
      </c>
      <c r="C599" s="2">
        <v>0</v>
      </c>
      <c r="D599" s="2">
        <f>SUMIFS([1]Sheet1!D:D,[1]Sheet1!A:A,A599,[1]Sheet1!E:E,"Figurado")</f>
        <v>1286.7</v>
      </c>
      <c r="E599" s="2">
        <f>SUMIFS([1]Sheet1!D:D,[1]Sheet1!A:A,A599,[1]Sheet1!E:E,"Mallas")</f>
        <v>0</v>
      </c>
      <c r="F599" s="2">
        <f>SUMIFS([1]Sheet1!D:D,[1]Sheet1!A:A,A599,[1]Sheet1!E:E,"Materia Prima")</f>
        <v>0</v>
      </c>
      <c r="G599" s="2">
        <f t="shared" si="36"/>
        <v>0.49488461538461542</v>
      </c>
      <c r="H599">
        <f t="shared" si="37"/>
        <v>1</v>
      </c>
      <c r="I599" s="2">
        <f t="shared" si="38"/>
        <v>0.49488461538461542</v>
      </c>
      <c r="J599" s="2">
        <f t="shared" si="39"/>
        <v>0</v>
      </c>
    </row>
    <row r="600" spans="1:10" x14ac:dyDescent="0.3">
      <c r="A600">
        <v>1000017604</v>
      </c>
      <c r="B600" s="1">
        <f>VLOOKUP(A600,[1]Sheet1!A:B,2,FALSE)</f>
        <v>40570</v>
      </c>
      <c r="C600" s="2">
        <v>0</v>
      </c>
      <c r="D600" s="2">
        <f>SUMIFS([1]Sheet1!D:D,[1]Sheet1!A:A,A600,[1]Sheet1!E:E,"Figurado")</f>
        <v>9228.4</v>
      </c>
      <c r="E600" s="2">
        <f>SUMIFS([1]Sheet1!D:D,[1]Sheet1!A:A,A600,[1]Sheet1!E:E,"Mallas")</f>
        <v>0</v>
      </c>
      <c r="F600" s="2">
        <f>SUMIFS([1]Sheet1!D:D,[1]Sheet1!A:A,A600,[1]Sheet1!E:E,"Materia Prima")</f>
        <v>0</v>
      </c>
      <c r="G600" s="2">
        <f t="shared" si="36"/>
        <v>3.5493846153846151</v>
      </c>
      <c r="H600">
        <f t="shared" si="37"/>
        <v>1</v>
      </c>
      <c r="I600" s="2">
        <f t="shared" si="38"/>
        <v>3.5493846153846151</v>
      </c>
      <c r="J600" s="2">
        <f t="shared" si="39"/>
        <v>0</v>
      </c>
    </row>
    <row r="601" spans="1:10" x14ac:dyDescent="0.3">
      <c r="A601">
        <v>1000017605</v>
      </c>
      <c r="B601" s="1">
        <f>VLOOKUP(A601,[1]Sheet1!A:B,2,FALSE)</f>
        <v>40570</v>
      </c>
      <c r="C601" s="2">
        <v>0</v>
      </c>
      <c r="D601" s="2">
        <f>SUMIFS([1]Sheet1!D:D,[1]Sheet1!A:A,A601,[1]Sheet1!E:E,"Figurado")</f>
        <v>9028.1</v>
      </c>
      <c r="E601" s="2">
        <f>SUMIFS([1]Sheet1!D:D,[1]Sheet1!A:A,A601,[1]Sheet1!E:E,"Mallas")</f>
        <v>0</v>
      </c>
      <c r="F601" s="2">
        <f>SUMIFS([1]Sheet1!D:D,[1]Sheet1!A:A,A601,[1]Sheet1!E:E,"Materia Prima")</f>
        <v>337</v>
      </c>
      <c r="G601" s="2">
        <f t="shared" si="36"/>
        <v>3.472346153846154</v>
      </c>
      <c r="H601">
        <f t="shared" si="37"/>
        <v>2</v>
      </c>
      <c r="I601" s="2">
        <f t="shared" si="38"/>
        <v>3.472346153846154</v>
      </c>
      <c r="J601" s="2">
        <f t="shared" si="39"/>
        <v>0</v>
      </c>
    </row>
    <row r="602" spans="1:10" x14ac:dyDescent="0.3">
      <c r="A602">
        <v>1000017606</v>
      </c>
      <c r="B602" s="1">
        <f>VLOOKUP(A602,[1]Sheet1!A:B,2,FALSE)</f>
        <v>40570</v>
      </c>
      <c r="C602" s="2">
        <v>0</v>
      </c>
      <c r="D602" s="2">
        <f>SUMIFS([1]Sheet1!D:D,[1]Sheet1!A:A,A602,[1]Sheet1!E:E,"Figurado")</f>
        <v>0</v>
      </c>
      <c r="E602" s="2">
        <f>SUMIFS([1]Sheet1!D:D,[1]Sheet1!A:A,A602,[1]Sheet1!E:E,"Mallas")</f>
        <v>4736</v>
      </c>
      <c r="F602" s="2">
        <f>SUMIFS([1]Sheet1!D:D,[1]Sheet1!A:A,A602,[1]Sheet1!E:E,"Materia Prima")</f>
        <v>0</v>
      </c>
      <c r="G602" s="2">
        <f t="shared" si="36"/>
        <v>5.92</v>
      </c>
      <c r="H602">
        <f t="shared" si="37"/>
        <v>1</v>
      </c>
      <c r="I602" s="2">
        <f t="shared" si="38"/>
        <v>0</v>
      </c>
      <c r="J602" s="2">
        <f t="shared" si="39"/>
        <v>5.92</v>
      </c>
    </row>
    <row r="603" spans="1:10" x14ac:dyDescent="0.3">
      <c r="A603">
        <v>1000017607</v>
      </c>
      <c r="B603" s="1">
        <f>VLOOKUP(A603,[1]Sheet1!A:B,2,FALSE)</f>
        <v>40570</v>
      </c>
      <c r="C603" s="2">
        <v>0</v>
      </c>
      <c r="D603" s="2">
        <f>SUMIFS([1]Sheet1!D:D,[1]Sheet1!A:A,A603,[1]Sheet1!E:E,"Figurado")</f>
        <v>0</v>
      </c>
      <c r="E603" s="2">
        <f>SUMIFS([1]Sheet1!D:D,[1]Sheet1!A:A,A603,[1]Sheet1!E:E,"Mallas")</f>
        <v>1582</v>
      </c>
      <c r="F603" s="2">
        <f>SUMIFS([1]Sheet1!D:D,[1]Sheet1!A:A,A603,[1]Sheet1!E:E,"Materia Prima")</f>
        <v>0</v>
      </c>
      <c r="G603" s="2">
        <f t="shared" si="36"/>
        <v>1.9775</v>
      </c>
      <c r="H603">
        <f t="shared" si="37"/>
        <v>1</v>
      </c>
      <c r="I603" s="2">
        <f t="shared" si="38"/>
        <v>0</v>
      </c>
      <c r="J603" s="2">
        <f t="shared" si="39"/>
        <v>1.9775</v>
      </c>
    </row>
    <row r="604" spans="1:10" x14ac:dyDescent="0.3">
      <c r="A604">
        <v>1000017609</v>
      </c>
      <c r="B604" s="1">
        <f>VLOOKUP(A604,[1]Sheet1!A:B,2,FALSE)</f>
        <v>40570</v>
      </c>
      <c r="C604" s="2">
        <v>0</v>
      </c>
      <c r="D604" s="2">
        <f>SUMIFS([1]Sheet1!D:D,[1]Sheet1!A:A,A604,[1]Sheet1!E:E,"Figurado")</f>
        <v>3272.8</v>
      </c>
      <c r="E604" s="2">
        <f>SUMIFS([1]Sheet1!D:D,[1]Sheet1!A:A,A604,[1]Sheet1!E:E,"Mallas")</f>
        <v>0</v>
      </c>
      <c r="F604" s="2">
        <f>SUMIFS([1]Sheet1!D:D,[1]Sheet1!A:A,A604,[1]Sheet1!E:E,"Materia Prima")</f>
        <v>567</v>
      </c>
      <c r="G604" s="2">
        <f t="shared" si="36"/>
        <v>1.2587692307692309</v>
      </c>
      <c r="H604">
        <f t="shared" si="37"/>
        <v>2</v>
      </c>
      <c r="I604" s="2">
        <f t="shared" si="38"/>
        <v>1.2587692307692309</v>
      </c>
      <c r="J604" s="2">
        <f t="shared" si="39"/>
        <v>0</v>
      </c>
    </row>
    <row r="605" spans="1:10" x14ac:dyDescent="0.3">
      <c r="A605">
        <v>1000017610</v>
      </c>
      <c r="B605" s="1">
        <f>VLOOKUP(A605,[1]Sheet1!A:B,2,FALSE)</f>
        <v>40570</v>
      </c>
      <c r="C605" s="2">
        <v>0</v>
      </c>
      <c r="D605" s="2">
        <f>SUMIFS([1]Sheet1!D:D,[1]Sheet1!A:A,A605,[1]Sheet1!E:E,"Figurado")</f>
        <v>2091.1999999999998</v>
      </c>
      <c r="E605" s="2">
        <f>SUMIFS([1]Sheet1!D:D,[1]Sheet1!A:A,A605,[1]Sheet1!E:E,"Mallas")</f>
        <v>0</v>
      </c>
      <c r="F605" s="2">
        <f>SUMIFS([1]Sheet1!D:D,[1]Sheet1!A:A,A605,[1]Sheet1!E:E,"Materia Prima")</f>
        <v>405</v>
      </c>
      <c r="G605" s="2">
        <f t="shared" si="36"/>
        <v>0.80430769230769228</v>
      </c>
      <c r="H605">
        <f t="shared" si="37"/>
        <v>2</v>
      </c>
      <c r="I605" s="2">
        <f t="shared" si="38"/>
        <v>0.80430769230769228</v>
      </c>
      <c r="J605" s="2">
        <f t="shared" si="39"/>
        <v>0</v>
      </c>
    </row>
    <row r="606" spans="1:10" x14ac:dyDescent="0.3">
      <c r="A606">
        <v>1000017611</v>
      </c>
      <c r="B606" s="1">
        <f>VLOOKUP(A606,[1]Sheet1!A:B,2,FALSE)</f>
        <v>40570</v>
      </c>
      <c r="C606" s="2">
        <v>0</v>
      </c>
      <c r="D606" s="2">
        <f>SUMIFS([1]Sheet1!D:D,[1]Sheet1!A:A,A606,[1]Sheet1!E:E,"Figurado")</f>
        <v>4168.1000000000004</v>
      </c>
      <c r="E606" s="2">
        <f>SUMIFS([1]Sheet1!D:D,[1]Sheet1!A:A,A606,[1]Sheet1!E:E,"Mallas")</f>
        <v>0</v>
      </c>
      <c r="F606" s="2">
        <f>SUMIFS([1]Sheet1!D:D,[1]Sheet1!A:A,A606,[1]Sheet1!E:E,"Materia Prima")</f>
        <v>837</v>
      </c>
      <c r="G606" s="2">
        <f t="shared" si="36"/>
        <v>1.6031153846153847</v>
      </c>
      <c r="H606">
        <f t="shared" si="37"/>
        <v>2</v>
      </c>
      <c r="I606" s="2">
        <f t="shared" si="38"/>
        <v>1.6031153846153847</v>
      </c>
      <c r="J606" s="2">
        <f t="shared" si="39"/>
        <v>0</v>
      </c>
    </row>
    <row r="607" spans="1:10" x14ac:dyDescent="0.3">
      <c r="A607">
        <v>1000017612</v>
      </c>
      <c r="B607" s="1">
        <f>VLOOKUP(A607,[1]Sheet1!A:B,2,FALSE)</f>
        <v>40570</v>
      </c>
      <c r="C607" s="2">
        <v>0</v>
      </c>
      <c r="D607" s="2">
        <f>SUMIFS([1]Sheet1!D:D,[1]Sheet1!A:A,A607,[1]Sheet1!E:E,"Figurado")</f>
        <v>3991.7</v>
      </c>
      <c r="E607" s="2">
        <f>SUMIFS([1]Sheet1!D:D,[1]Sheet1!A:A,A607,[1]Sheet1!E:E,"Mallas")</f>
        <v>0</v>
      </c>
      <c r="F607" s="2">
        <f>SUMIFS([1]Sheet1!D:D,[1]Sheet1!A:A,A607,[1]Sheet1!E:E,"Materia Prima")</f>
        <v>2990.3999999999996</v>
      </c>
      <c r="G607" s="2">
        <f t="shared" si="36"/>
        <v>1.5352692307692306</v>
      </c>
      <c r="H607">
        <f t="shared" si="37"/>
        <v>2</v>
      </c>
      <c r="I607" s="2">
        <f t="shared" si="38"/>
        <v>1.5352692307692306</v>
      </c>
      <c r="J607" s="2">
        <f t="shared" si="39"/>
        <v>0</v>
      </c>
    </row>
    <row r="608" spans="1:10" x14ac:dyDescent="0.3">
      <c r="A608">
        <v>1000017613</v>
      </c>
      <c r="B608" s="1">
        <f>VLOOKUP(A608,[1]Sheet1!A:B,2,FALSE)</f>
        <v>40570</v>
      </c>
      <c r="C608" s="2">
        <v>0</v>
      </c>
      <c r="D608" s="2">
        <f>SUMIFS([1]Sheet1!D:D,[1]Sheet1!A:A,A608,[1]Sheet1!E:E,"Figurado")</f>
        <v>933.1</v>
      </c>
      <c r="E608" s="2">
        <f>SUMIFS([1]Sheet1!D:D,[1]Sheet1!A:A,A608,[1]Sheet1!E:E,"Mallas")</f>
        <v>0</v>
      </c>
      <c r="F608" s="2">
        <f>SUMIFS([1]Sheet1!D:D,[1]Sheet1!A:A,A608,[1]Sheet1!E:E,"Materia Prima")</f>
        <v>84.5</v>
      </c>
      <c r="G608" s="2">
        <f t="shared" si="36"/>
        <v>0.35888461538461541</v>
      </c>
      <c r="H608">
        <f t="shared" si="37"/>
        <v>2</v>
      </c>
      <c r="I608" s="2">
        <f t="shared" si="38"/>
        <v>0.35888461538461541</v>
      </c>
      <c r="J608" s="2">
        <f t="shared" si="39"/>
        <v>0</v>
      </c>
    </row>
    <row r="609" spans="1:10" x14ac:dyDescent="0.3">
      <c r="A609">
        <v>1000017614</v>
      </c>
      <c r="B609" s="1">
        <f>VLOOKUP(A609,[1]Sheet1!A:B,2,FALSE)</f>
        <v>40570</v>
      </c>
      <c r="C609" s="2">
        <v>0</v>
      </c>
      <c r="D609" s="2">
        <f>SUMIFS([1]Sheet1!D:D,[1]Sheet1!A:A,A609,[1]Sheet1!E:E,"Figurado")</f>
        <v>638.4</v>
      </c>
      <c r="E609" s="2">
        <f>SUMIFS([1]Sheet1!D:D,[1]Sheet1!A:A,A609,[1]Sheet1!E:E,"Mallas")</f>
        <v>0</v>
      </c>
      <c r="F609" s="2">
        <f>SUMIFS([1]Sheet1!D:D,[1]Sheet1!A:A,A609,[1]Sheet1!E:E,"Materia Prima")</f>
        <v>0</v>
      </c>
      <c r="G609" s="2">
        <f t="shared" si="36"/>
        <v>0.24553846153846154</v>
      </c>
      <c r="H609">
        <f t="shared" si="37"/>
        <v>1</v>
      </c>
      <c r="I609" s="2">
        <f t="shared" si="38"/>
        <v>0.24553846153846154</v>
      </c>
      <c r="J609" s="2">
        <f t="shared" si="39"/>
        <v>0</v>
      </c>
    </row>
    <row r="610" spans="1:10" x14ac:dyDescent="0.3">
      <c r="A610">
        <v>1000017615</v>
      </c>
      <c r="B610" s="1">
        <f>VLOOKUP(A610,[1]Sheet1!A:B,2,FALSE)</f>
        <v>40570</v>
      </c>
      <c r="C610" s="2">
        <v>0</v>
      </c>
      <c r="D610" s="2">
        <f>SUMIFS([1]Sheet1!D:D,[1]Sheet1!A:A,A610,[1]Sheet1!E:E,"Figurado")</f>
        <v>5802.7999999999993</v>
      </c>
      <c r="E610" s="2">
        <f>SUMIFS([1]Sheet1!D:D,[1]Sheet1!A:A,A610,[1]Sheet1!E:E,"Mallas")</f>
        <v>0</v>
      </c>
      <c r="F610" s="2">
        <f>SUMIFS([1]Sheet1!D:D,[1]Sheet1!A:A,A610,[1]Sheet1!E:E,"Materia Prima")</f>
        <v>0</v>
      </c>
      <c r="G610" s="2">
        <f t="shared" si="36"/>
        <v>2.2318461538461536</v>
      </c>
      <c r="H610">
        <f t="shared" si="37"/>
        <v>1</v>
      </c>
      <c r="I610" s="2">
        <f t="shared" si="38"/>
        <v>2.2318461538461536</v>
      </c>
      <c r="J610" s="2">
        <f t="shared" si="39"/>
        <v>0</v>
      </c>
    </row>
    <row r="611" spans="1:10" x14ac:dyDescent="0.3">
      <c r="A611">
        <v>1000017616</v>
      </c>
      <c r="B611" s="1">
        <f>VLOOKUP(A611,[1]Sheet1!A:B,2,FALSE)</f>
        <v>40570</v>
      </c>
      <c r="C611" s="2">
        <v>0</v>
      </c>
      <c r="D611" s="2">
        <f>SUMIFS([1]Sheet1!D:D,[1]Sheet1!A:A,A611,[1]Sheet1!E:E,"Figurado")</f>
        <v>9385.1</v>
      </c>
      <c r="E611" s="2">
        <f>SUMIFS([1]Sheet1!D:D,[1]Sheet1!A:A,A611,[1]Sheet1!E:E,"Mallas")</f>
        <v>0</v>
      </c>
      <c r="F611" s="2">
        <f>SUMIFS([1]Sheet1!D:D,[1]Sheet1!A:A,A611,[1]Sheet1!E:E,"Materia Prima")</f>
        <v>0</v>
      </c>
      <c r="G611" s="2">
        <f t="shared" si="36"/>
        <v>3.6096538461538463</v>
      </c>
      <c r="H611">
        <f t="shared" si="37"/>
        <v>1</v>
      </c>
      <c r="I611" s="2">
        <f t="shared" si="38"/>
        <v>3.6096538461538463</v>
      </c>
      <c r="J611" s="2">
        <f t="shared" si="39"/>
        <v>0</v>
      </c>
    </row>
    <row r="612" spans="1:10" x14ac:dyDescent="0.3">
      <c r="A612">
        <v>1000017617</v>
      </c>
      <c r="B612" s="1">
        <f>VLOOKUP(A612,[1]Sheet1!A:B,2,FALSE)</f>
        <v>40570</v>
      </c>
      <c r="C612" s="2">
        <v>0</v>
      </c>
      <c r="D612" s="2">
        <f>SUMIFS([1]Sheet1!D:D,[1]Sheet1!A:A,A612,[1]Sheet1!E:E,"Figurado")</f>
        <v>194.4</v>
      </c>
      <c r="E612" s="2">
        <f>SUMIFS([1]Sheet1!D:D,[1]Sheet1!A:A,A612,[1]Sheet1!E:E,"Mallas")</f>
        <v>0</v>
      </c>
      <c r="F612" s="2">
        <f>SUMIFS([1]Sheet1!D:D,[1]Sheet1!A:A,A612,[1]Sheet1!E:E,"Materia Prima")</f>
        <v>0</v>
      </c>
      <c r="G612" s="2">
        <f t="shared" si="36"/>
        <v>7.4769230769230768E-2</v>
      </c>
      <c r="H612">
        <f t="shared" si="37"/>
        <v>1</v>
      </c>
      <c r="I612" s="2">
        <f t="shared" si="38"/>
        <v>7.4769230769230768E-2</v>
      </c>
      <c r="J612" s="2">
        <f t="shared" si="39"/>
        <v>0</v>
      </c>
    </row>
    <row r="613" spans="1:10" x14ac:dyDescent="0.3">
      <c r="A613">
        <v>1000017618</v>
      </c>
      <c r="B613" s="1">
        <f>VLOOKUP(A613,[1]Sheet1!A:B,2,FALSE)</f>
        <v>40570</v>
      </c>
      <c r="C613" s="2">
        <v>0</v>
      </c>
      <c r="D613" s="2">
        <f>SUMIFS([1]Sheet1!D:D,[1]Sheet1!A:A,A613,[1]Sheet1!E:E,"Figurado")</f>
        <v>7762.2</v>
      </c>
      <c r="E613" s="2">
        <f>SUMIFS([1]Sheet1!D:D,[1]Sheet1!A:A,A613,[1]Sheet1!E:E,"Mallas")</f>
        <v>0</v>
      </c>
      <c r="F613" s="2">
        <f>SUMIFS([1]Sheet1!D:D,[1]Sheet1!A:A,A613,[1]Sheet1!E:E,"Materia Prima")</f>
        <v>161.30000000000001</v>
      </c>
      <c r="G613" s="2">
        <f t="shared" si="36"/>
        <v>2.9854615384615384</v>
      </c>
      <c r="H613">
        <f t="shared" si="37"/>
        <v>2</v>
      </c>
      <c r="I613" s="2">
        <f t="shared" si="38"/>
        <v>2.9854615384615384</v>
      </c>
      <c r="J613" s="2">
        <f t="shared" si="39"/>
        <v>0</v>
      </c>
    </row>
    <row r="614" spans="1:10" x14ac:dyDescent="0.3">
      <c r="A614">
        <v>1000017619</v>
      </c>
      <c r="B614" s="1">
        <f>VLOOKUP(A614,[1]Sheet1!A:B,2,FALSE)</f>
        <v>40570</v>
      </c>
      <c r="C614" s="2">
        <v>0</v>
      </c>
      <c r="D614" s="2">
        <f>SUMIFS([1]Sheet1!D:D,[1]Sheet1!A:A,A614,[1]Sheet1!E:E,"Figurado")</f>
        <v>1380.2</v>
      </c>
      <c r="E614" s="2">
        <f>SUMIFS([1]Sheet1!D:D,[1]Sheet1!A:A,A614,[1]Sheet1!E:E,"Mallas")</f>
        <v>0</v>
      </c>
      <c r="F614" s="2">
        <f>SUMIFS([1]Sheet1!D:D,[1]Sheet1!A:A,A614,[1]Sheet1!E:E,"Materia Prima")</f>
        <v>0</v>
      </c>
      <c r="G614" s="2">
        <f t="shared" si="36"/>
        <v>0.53084615384615386</v>
      </c>
      <c r="H614">
        <f t="shared" si="37"/>
        <v>1</v>
      </c>
      <c r="I614" s="2">
        <f t="shared" si="38"/>
        <v>0.53084615384615386</v>
      </c>
      <c r="J614" s="2">
        <f t="shared" si="39"/>
        <v>0</v>
      </c>
    </row>
    <row r="615" spans="1:10" x14ac:dyDescent="0.3">
      <c r="A615">
        <v>1000017620</v>
      </c>
      <c r="B615" s="1">
        <f>VLOOKUP(A615,[1]Sheet1!A:B,2,FALSE)</f>
        <v>40570</v>
      </c>
      <c r="C615" s="2">
        <v>0</v>
      </c>
      <c r="D615" s="2">
        <f>SUMIFS([1]Sheet1!D:D,[1]Sheet1!A:A,A615,[1]Sheet1!E:E,"Figurado")</f>
        <v>1001.9999999999999</v>
      </c>
      <c r="E615" s="2">
        <f>SUMIFS([1]Sheet1!D:D,[1]Sheet1!A:A,A615,[1]Sheet1!E:E,"Mallas")</f>
        <v>0</v>
      </c>
      <c r="F615" s="2">
        <f>SUMIFS([1]Sheet1!D:D,[1]Sheet1!A:A,A615,[1]Sheet1!E:E,"Materia Prima")</f>
        <v>0</v>
      </c>
      <c r="G615" s="2">
        <f t="shared" si="36"/>
        <v>0.38538461538461533</v>
      </c>
      <c r="H615">
        <f t="shared" si="37"/>
        <v>1</v>
      </c>
      <c r="I615" s="2">
        <f t="shared" si="38"/>
        <v>0.38538461538461533</v>
      </c>
      <c r="J615" s="2">
        <f t="shared" si="39"/>
        <v>0</v>
      </c>
    </row>
    <row r="616" spans="1:10" x14ac:dyDescent="0.3">
      <c r="A616">
        <v>1000017621</v>
      </c>
      <c r="B616" s="1">
        <f>VLOOKUP(A616,[1]Sheet1!A:B,2,FALSE)</f>
        <v>40570</v>
      </c>
      <c r="C616" s="2">
        <v>0</v>
      </c>
      <c r="D616" s="2">
        <f>SUMIFS([1]Sheet1!D:D,[1]Sheet1!A:A,A616,[1]Sheet1!E:E,"Figurado")</f>
        <v>10542.4</v>
      </c>
      <c r="E616" s="2">
        <f>SUMIFS([1]Sheet1!D:D,[1]Sheet1!A:A,A616,[1]Sheet1!E:E,"Mallas")</f>
        <v>0</v>
      </c>
      <c r="F616" s="2">
        <f>SUMIFS([1]Sheet1!D:D,[1]Sheet1!A:A,A616,[1]Sheet1!E:E,"Materia Prima")</f>
        <v>621</v>
      </c>
      <c r="G616" s="2">
        <f t="shared" si="36"/>
        <v>4.0547692307692307</v>
      </c>
      <c r="H616">
        <f t="shared" si="37"/>
        <v>2</v>
      </c>
      <c r="I616" s="2">
        <f t="shared" si="38"/>
        <v>4.0547692307692307</v>
      </c>
      <c r="J616" s="2">
        <f t="shared" si="39"/>
        <v>0</v>
      </c>
    </row>
    <row r="617" spans="1:10" x14ac:dyDescent="0.3">
      <c r="A617">
        <v>1000017623</v>
      </c>
      <c r="B617" s="1">
        <f>VLOOKUP(A617,[1]Sheet1!A:B,2,FALSE)</f>
        <v>40571</v>
      </c>
      <c r="C617" s="2">
        <v>0</v>
      </c>
      <c r="D617" s="2">
        <f>SUMIFS([1]Sheet1!D:D,[1]Sheet1!A:A,A617,[1]Sheet1!E:E,"Figurado")</f>
        <v>10393.1</v>
      </c>
      <c r="E617" s="2">
        <f>SUMIFS([1]Sheet1!D:D,[1]Sheet1!A:A,A617,[1]Sheet1!E:E,"Mallas")</f>
        <v>0</v>
      </c>
      <c r="F617" s="2">
        <f>SUMIFS([1]Sheet1!D:D,[1]Sheet1!A:A,A617,[1]Sheet1!E:E,"Materia Prima")</f>
        <v>241.4</v>
      </c>
      <c r="G617" s="2">
        <f t="shared" si="36"/>
        <v>3.9973461538461539</v>
      </c>
      <c r="H617">
        <f t="shared" si="37"/>
        <v>2</v>
      </c>
      <c r="I617" s="2">
        <f t="shared" si="38"/>
        <v>3.9973461538461539</v>
      </c>
      <c r="J617" s="2">
        <f t="shared" si="39"/>
        <v>0</v>
      </c>
    </row>
    <row r="618" spans="1:10" x14ac:dyDescent="0.3">
      <c r="A618">
        <v>1000017626</v>
      </c>
      <c r="B618" s="1">
        <f>VLOOKUP(A618,[1]Sheet1!A:B,2,FALSE)</f>
        <v>40571</v>
      </c>
      <c r="C618" s="2">
        <v>0</v>
      </c>
      <c r="D618" s="2">
        <f>SUMIFS([1]Sheet1!D:D,[1]Sheet1!A:A,A618,[1]Sheet1!E:E,"Figurado")</f>
        <v>5.0999999999999996</v>
      </c>
      <c r="E618" s="2">
        <f>SUMIFS([1]Sheet1!D:D,[1]Sheet1!A:A,A618,[1]Sheet1!E:E,"Mallas")</f>
        <v>0</v>
      </c>
      <c r="F618" s="2">
        <f>SUMIFS([1]Sheet1!D:D,[1]Sheet1!A:A,A618,[1]Sheet1!E:E,"Materia Prima")</f>
        <v>0</v>
      </c>
      <c r="G618" s="2">
        <f t="shared" si="36"/>
        <v>1.9615384615384616E-3</v>
      </c>
      <c r="H618">
        <f t="shared" si="37"/>
        <v>1</v>
      </c>
      <c r="I618" s="2">
        <f t="shared" si="38"/>
        <v>1.9615384615384616E-3</v>
      </c>
      <c r="J618" s="2">
        <f t="shared" si="39"/>
        <v>0</v>
      </c>
    </row>
    <row r="619" spans="1:10" x14ac:dyDescent="0.3">
      <c r="A619">
        <v>1000017651</v>
      </c>
      <c r="B619" s="1">
        <f>VLOOKUP(A619,[1]Sheet1!A:B,2,FALSE)</f>
        <v>40571</v>
      </c>
      <c r="C619" s="2">
        <v>0</v>
      </c>
      <c r="D619" s="2">
        <f>SUMIFS([1]Sheet1!D:D,[1]Sheet1!A:A,A619,[1]Sheet1!E:E,"Figurado")</f>
        <v>305.10000000000002</v>
      </c>
      <c r="E619" s="2">
        <f>SUMIFS([1]Sheet1!D:D,[1]Sheet1!A:A,A619,[1]Sheet1!E:E,"Mallas")</f>
        <v>0</v>
      </c>
      <c r="F619" s="2">
        <f>SUMIFS([1]Sheet1!D:D,[1]Sheet1!A:A,A619,[1]Sheet1!E:E,"Materia Prima")</f>
        <v>0</v>
      </c>
      <c r="G619" s="2">
        <f t="shared" si="36"/>
        <v>0.11734615384615385</v>
      </c>
      <c r="H619">
        <f t="shared" si="37"/>
        <v>1</v>
      </c>
      <c r="I619" s="2">
        <f t="shared" si="38"/>
        <v>0.11734615384615385</v>
      </c>
      <c r="J619" s="2">
        <f t="shared" si="39"/>
        <v>0</v>
      </c>
    </row>
    <row r="620" spans="1:10" x14ac:dyDescent="0.3">
      <c r="A620">
        <v>1000017652</v>
      </c>
      <c r="B620" s="1">
        <f>VLOOKUP(A620,[1]Sheet1!A:B,2,FALSE)</f>
        <v>40571</v>
      </c>
      <c r="C620" s="2">
        <v>0</v>
      </c>
      <c r="D620" s="2">
        <f>SUMIFS([1]Sheet1!D:D,[1]Sheet1!A:A,A620,[1]Sheet1!E:E,"Figurado")</f>
        <v>74.8</v>
      </c>
      <c r="E620" s="2">
        <f>SUMIFS([1]Sheet1!D:D,[1]Sheet1!A:A,A620,[1]Sheet1!E:E,"Mallas")</f>
        <v>0</v>
      </c>
      <c r="F620" s="2">
        <f>SUMIFS([1]Sheet1!D:D,[1]Sheet1!A:A,A620,[1]Sheet1!E:E,"Materia Prima")</f>
        <v>0</v>
      </c>
      <c r="G620" s="2">
        <f t="shared" si="36"/>
        <v>2.8769230769230769E-2</v>
      </c>
      <c r="H620">
        <f t="shared" si="37"/>
        <v>1</v>
      </c>
      <c r="I620" s="2">
        <f t="shared" si="38"/>
        <v>2.8769230769230769E-2</v>
      </c>
      <c r="J620" s="2">
        <f t="shared" si="39"/>
        <v>0</v>
      </c>
    </row>
    <row r="621" spans="1:10" x14ac:dyDescent="0.3">
      <c r="A621">
        <v>1000017653</v>
      </c>
      <c r="B621" s="1">
        <f>VLOOKUP(A621,[1]Sheet1!A:B,2,FALSE)</f>
        <v>40571</v>
      </c>
      <c r="C621" s="2">
        <v>0</v>
      </c>
      <c r="D621" s="2">
        <f>SUMIFS([1]Sheet1!D:D,[1]Sheet1!A:A,A621,[1]Sheet1!E:E,"Figurado")</f>
        <v>404.5</v>
      </c>
      <c r="E621" s="2">
        <f>SUMIFS([1]Sheet1!D:D,[1]Sheet1!A:A,A621,[1]Sheet1!E:E,"Mallas")</f>
        <v>0</v>
      </c>
      <c r="F621" s="2">
        <f>SUMIFS([1]Sheet1!D:D,[1]Sheet1!A:A,A621,[1]Sheet1!E:E,"Materia Prima")</f>
        <v>0</v>
      </c>
      <c r="G621" s="2">
        <f t="shared" si="36"/>
        <v>0.15557692307692308</v>
      </c>
      <c r="H621">
        <f t="shared" si="37"/>
        <v>1</v>
      </c>
      <c r="I621" s="2">
        <f t="shared" si="38"/>
        <v>0.15557692307692308</v>
      </c>
      <c r="J621" s="2">
        <f t="shared" si="39"/>
        <v>0</v>
      </c>
    </row>
    <row r="622" spans="1:10" x14ac:dyDescent="0.3">
      <c r="A622">
        <v>1000017654</v>
      </c>
      <c r="B622" s="1">
        <f>VLOOKUP(A622,[1]Sheet1!A:B,2,FALSE)</f>
        <v>40571</v>
      </c>
      <c r="C622" s="2">
        <v>0</v>
      </c>
      <c r="D622" s="2">
        <f>SUMIFS([1]Sheet1!D:D,[1]Sheet1!A:A,A622,[1]Sheet1!E:E,"Figurado")</f>
        <v>316.8</v>
      </c>
      <c r="E622" s="2">
        <f>SUMIFS([1]Sheet1!D:D,[1]Sheet1!A:A,A622,[1]Sheet1!E:E,"Mallas")</f>
        <v>0</v>
      </c>
      <c r="F622" s="2">
        <f>SUMIFS([1]Sheet1!D:D,[1]Sheet1!A:A,A622,[1]Sheet1!E:E,"Materia Prima")</f>
        <v>0</v>
      </c>
      <c r="G622" s="2">
        <f t="shared" si="36"/>
        <v>0.12184615384615385</v>
      </c>
      <c r="H622">
        <f t="shared" si="37"/>
        <v>1</v>
      </c>
      <c r="I622" s="2">
        <f t="shared" si="38"/>
        <v>0.12184615384615385</v>
      </c>
      <c r="J622" s="2">
        <f t="shared" si="39"/>
        <v>0</v>
      </c>
    </row>
    <row r="623" spans="1:10" x14ac:dyDescent="0.3">
      <c r="A623">
        <v>1000017655</v>
      </c>
      <c r="B623" s="1">
        <f>VLOOKUP(A623,[1]Sheet1!A:B,2,FALSE)</f>
        <v>40571</v>
      </c>
      <c r="C623" s="2">
        <v>0</v>
      </c>
      <c r="D623" s="2">
        <f>SUMIFS([1]Sheet1!D:D,[1]Sheet1!A:A,A623,[1]Sheet1!E:E,"Figurado")</f>
        <v>2007.5</v>
      </c>
      <c r="E623" s="2">
        <f>SUMIFS([1]Sheet1!D:D,[1]Sheet1!A:A,A623,[1]Sheet1!E:E,"Mallas")</f>
        <v>0</v>
      </c>
      <c r="F623" s="2">
        <f>SUMIFS([1]Sheet1!D:D,[1]Sheet1!A:A,A623,[1]Sheet1!E:E,"Materia Prima")</f>
        <v>0</v>
      </c>
      <c r="G623" s="2">
        <f t="shared" si="36"/>
        <v>0.77211538461538465</v>
      </c>
      <c r="H623">
        <f t="shared" si="37"/>
        <v>1</v>
      </c>
      <c r="I623" s="2">
        <f t="shared" si="38"/>
        <v>0.77211538461538465</v>
      </c>
      <c r="J623" s="2">
        <f t="shared" si="39"/>
        <v>0</v>
      </c>
    </row>
    <row r="624" spans="1:10" x14ac:dyDescent="0.3">
      <c r="A624">
        <v>1000017656</v>
      </c>
      <c r="B624" s="1">
        <f>VLOOKUP(A624,[1]Sheet1!A:B,2,FALSE)</f>
        <v>40571</v>
      </c>
      <c r="C624" s="2">
        <v>0</v>
      </c>
      <c r="D624" s="2">
        <f>SUMIFS([1]Sheet1!D:D,[1]Sheet1!A:A,A624,[1]Sheet1!E:E,"Figurado")</f>
        <v>434.1</v>
      </c>
      <c r="E624" s="2">
        <f>SUMIFS([1]Sheet1!D:D,[1]Sheet1!A:A,A624,[1]Sheet1!E:E,"Mallas")</f>
        <v>0</v>
      </c>
      <c r="F624" s="2">
        <f>SUMIFS([1]Sheet1!D:D,[1]Sheet1!A:A,A624,[1]Sheet1!E:E,"Materia Prima")</f>
        <v>0</v>
      </c>
      <c r="G624" s="2">
        <f t="shared" si="36"/>
        <v>0.16696153846153847</v>
      </c>
      <c r="H624">
        <f t="shared" si="37"/>
        <v>1</v>
      </c>
      <c r="I624" s="2">
        <f t="shared" si="38"/>
        <v>0.16696153846153847</v>
      </c>
      <c r="J624" s="2">
        <f t="shared" si="39"/>
        <v>0</v>
      </c>
    </row>
    <row r="625" spans="1:10" x14ac:dyDescent="0.3">
      <c r="A625">
        <v>1000017657</v>
      </c>
      <c r="B625" s="1">
        <f>VLOOKUP(A625,[1]Sheet1!A:B,2,FALSE)</f>
        <v>40571</v>
      </c>
      <c r="C625" s="2">
        <v>0</v>
      </c>
      <c r="D625" s="2">
        <f>SUMIFS([1]Sheet1!D:D,[1]Sheet1!A:A,A625,[1]Sheet1!E:E,"Figurado")</f>
        <v>7743.5</v>
      </c>
      <c r="E625" s="2">
        <f>SUMIFS([1]Sheet1!D:D,[1]Sheet1!A:A,A625,[1]Sheet1!E:E,"Mallas")</f>
        <v>0</v>
      </c>
      <c r="F625" s="2">
        <f>SUMIFS([1]Sheet1!D:D,[1]Sheet1!A:A,A625,[1]Sheet1!E:E,"Materia Prima")</f>
        <v>0</v>
      </c>
      <c r="G625" s="2">
        <f t="shared" si="36"/>
        <v>2.9782692307692309</v>
      </c>
      <c r="H625">
        <f t="shared" si="37"/>
        <v>1</v>
      </c>
      <c r="I625" s="2">
        <f t="shared" si="38"/>
        <v>2.9782692307692309</v>
      </c>
      <c r="J625" s="2">
        <f t="shared" si="39"/>
        <v>0</v>
      </c>
    </row>
    <row r="626" spans="1:10" x14ac:dyDescent="0.3">
      <c r="A626">
        <v>1000017681</v>
      </c>
      <c r="B626" s="1">
        <f>VLOOKUP(A626,[1]Sheet1!A:B,2,FALSE)</f>
        <v>40572</v>
      </c>
      <c r="C626" s="2">
        <v>0</v>
      </c>
      <c r="D626" s="2">
        <f>SUMIFS([1]Sheet1!D:D,[1]Sheet1!A:A,A626,[1]Sheet1!E:E,"Figurado")</f>
        <v>2776.2</v>
      </c>
      <c r="E626" s="2">
        <f>SUMIFS([1]Sheet1!D:D,[1]Sheet1!A:A,A626,[1]Sheet1!E:E,"Mallas")</f>
        <v>0</v>
      </c>
      <c r="F626" s="2">
        <f>SUMIFS([1]Sheet1!D:D,[1]Sheet1!A:A,A626,[1]Sheet1!E:E,"Materia Prima")</f>
        <v>0</v>
      </c>
      <c r="G626" s="2">
        <f t="shared" si="36"/>
        <v>1.0677692307692308</v>
      </c>
      <c r="H626">
        <f t="shared" si="37"/>
        <v>1</v>
      </c>
      <c r="I626" s="2">
        <f t="shared" si="38"/>
        <v>1.0677692307692308</v>
      </c>
      <c r="J626" s="2">
        <f t="shared" si="39"/>
        <v>0</v>
      </c>
    </row>
    <row r="627" spans="1:10" x14ac:dyDescent="0.3">
      <c r="A627">
        <v>1000017682</v>
      </c>
      <c r="B627" s="1">
        <f>VLOOKUP(A627,[1]Sheet1!A:B,2,FALSE)</f>
        <v>40572</v>
      </c>
      <c r="C627" s="2">
        <v>0</v>
      </c>
      <c r="D627" s="2">
        <f>SUMIFS([1]Sheet1!D:D,[1]Sheet1!A:A,A627,[1]Sheet1!E:E,"Figurado")</f>
        <v>6525.8</v>
      </c>
      <c r="E627" s="2">
        <f>SUMIFS([1]Sheet1!D:D,[1]Sheet1!A:A,A627,[1]Sheet1!E:E,"Mallas")</f>
        <v>0</v>
      </c>
      <c r="F627" s="2">
        <f>SUMIFS([1]Sheet1!D:D,[1]Sheet1!A:A,A627,[1]Sheet1!E:E,"Materia Prima")</f>
        <v>0</v>
      </c>
      <c r="G627" s="2">
        <f t="shared" si="36"/>
        <v>2.5099230769230769</v>
      </c>
      <c r="H627">
        <f t="shared" si="37"/>
        <v>1</v>
      </c>
      <c r="I627" s="2">
        <f t="shared" si="38"/>
        <v>2.5099230769230769</v>
      </c>
      <c r="J627" s="2">
        <f t="shared" si="39"/>
        <v>0</v>
      </c>
    </row>
    <row r="628" spans="1:10" x14ac:dyDescent="0.3">
      <c r="A628">
        <v>1000017536</v>
      </c>
      <c r="B628" s="1">
        <f>VLOOKUP(A628,[1]Sheet1!A:B,2,FALSE)</f>
        <v>40569</v>
      </c>
      <c r="C628" s="2">
        <v>0</v>
      </c>
      <c r="D628" s="2">
        <f>SUMIFS([1]Sheet1!D:D,[1]Sheet1!A:A,A628,[1]Sheet1!E:E,"Figurado")</f>
        <v>2005.9</v>
      </c>
      <c r="E628" s="2">
        <f>SUMIFS([1]Sheet1!D:D,[1]Sheet1!A:A,A628,[1]Sheet1!E:E,"Mallas")</f>
        <v>0</v>
      </c>
      <c r="F628" s="2">
        <f>SUMIFS([1]Sheet1!D:D,[1]Sheet1!A:A,A628,[1]Sheet1!E:E,"Materia Prima")</f>
        <v>0</v>
      </c>
      <c r="G628" s="2">
        <f t="shared" si="36"/>
        <v>0.77150000000000007</v>
      </c>
      <c r="H628">
        <f t="shared" si="37"/>
        <v>1</v>
      </c>
      <c r="I628" s="2">
        <f t="shared" si="38"/>
        <v>0.77150000000000007</v>
      </c>
      <c r="J628" s="2">
        <f t="shared" si="39"/>
        <v>0</v>
      </c>
    </row>
    <row r="629" spans="1:10" x14ac:dyDescent="0.3">
      <c r="A629">
        <v>1000017537</v>
      </c>
      <c r="B629" s="1">
        <f>VLOOKUP(A629,[1]Sheet1!A:B,2,FALSE)</f>
        <v>40569</v>
      </c>
      <c r="C629" s="2">
        <v>0</v>
      </c>
      <c r="D629" s="2">
        <f>SUMIFS([1]Sheet1!D:D,[1]Sheet1!A:A,A629,[1]Sheet1!E:E,"Figurado")</f>
        <v>481.7</v>
      </c>
      <c r="E629" s="2">
        <f>SUMIFS([1]Sheet1!D:D,[1]Sheet1!A:A,A629,[1]Sheet1!E:E,"Mallas")</f>
        <v>0</v>
      </c>
      <c r="F629" s="2">
        <f>SUMIFS([1]Sheet1!D:D,[1]Sheet1!A:A,A629,[1]Sheet1!E:E,"Materia Prima")</f>
        <v>0</v>
      </c>
      <c r="G629" s="2">
        <f t="shared" si="36"/>
        <v>0.18526923076923077</v>
      </c>
      <c r="H629">
        <f t="shared" si="37"/>
        <v>1</v>
      </c>
      <c r="I629" s="2">
        <f t="shared" si="38"/>
        <v>0.18526923076923077</v>
      </c>
      <c r="J629" s="2">
        <f t="shared" si="39"/>
        <v>0</v>
      </c>
    </row>
    <row r="630" spans="1:10" x14ac:dyDescent="0.3">
      <c r="A630">
        <v>1000017538</v>
      </c>
      <c r="B630" s="1">
        <f>VLOOKUP(A630,[1]Sheet1!A:B,2,FALSE)</f>
        <v>40569</v>
      </c>
      <c r="C630" s="2">
        <v>0</v>
      </c>
      <c r="D630" s="2">
        <f>SUMIFS([1]Sheet1!D:D,[1]Sheet1!A:A,A630,[1]Sheet1!E:E,"Figurado")</f>
        <v>286.39999999999998</v>
      </c>
      <c r="E630" s="2">
        <f>SUMIFS([1]Sheet1!D:D,[1]Sheet1!A:A,A630,[1]Sheet1!E:E,"Mallas")</f>
        <v>0</v>
      </c>
      <c r="F630" s="2">
        <f>SUMIFS([1]Sheet1!D:D,[1]Sheet1!A:A,A630,[1]Sheet1!E:E,"Materia Prima")</f>
        <v>0</v>
      </c>
      <c r="G630" s="2">
        <f t="shared" si="36"/>
        <v>0.11015384615384614</v>
      </c>
      <c r="H630">
        <f t="shared" si="37"/>
        <v>1</v>
      </c>
      <c r="I630" s="2">
        <f t="shared" si="38"/>
        <v>0.11015384615384614</v>
      </c>
      <c r="J630" s="2">
        <f t="shared" si="39"/>
        <v>0</v>
      </c>
    </row>
    <row r="631" spans="1:10" x14ac:dyDescent="0.3">
      <c r="A631">
        <v>1000017569</v>
      </c>
      <c r="B631" s="1">
        <f>VLOOKUP(A631,[1]Sheet1!A:B,2,FALSE)</f>
        <v>40569</v>
      </c>
      <c r="C631" s="2">
        <v>0</v>
      </c>
      <c r="D631" s="2">
        <f>SUMIFS([1]Sheet1!D:D,[1]Sheet1!A:A,A631,[1]Sheet1!E:E,"Figurado")</f>
        <v>0</v>
      </c>
      <c r="E631" s="2">
        <f>SUMIFS([1]Sheet1!D:D,[1]Sheet1!A:A,A631,[1]Sheet1!E:E,"Mallas")</f>
        <v>167.7</v>
      </c>
      <c r="F631" s="2">
        <f>SUMIFS([1]Sheet1!D:D,[1]Sheet1!A:A,A631,[1]Sheet1!E:E,"Materia Prima")</f>
        <v>0</v>
      </c>
      <c r="G631" s="2">
        <f t="shared" si="36"/>
        <v>0.20962499999999998</v>
      </c>
      <c r="H631">
        <f t="shared" si="37"/>
        <v>1</v>
      </c>
      <c r="I631" s="2">
        <f t="shared" si="38"/>
        <v>0</v>
      </c>
      <c r="J631" s="2">
        <f t="shared" si="39"/>
        <v>0.20962499999999998</v>
      </c>
    </row>
    <row r="632" spans="1:10" x14ac:dyDescent="0.3">
      <c r="A632">
        <v>1000017571</v>
      </c>
      <c r="B632" s="1">
        <f>VLOOKUP(A632,[1]Sheet1!A:B,2,FALSE)</f>
        <v>40570</v>
      </c>
      <c r="C632" s="2">
        <v>0</v>
      </c>
      <c r="D632" s="2">
        <f>SUMIFS([1]Sheet1!D:D,[1]Sheet1!A:A,A632,[1]Sheet1!E:E,"Figurado")</f>
        <v>480</v>
      </c>
      <c r="E632" s="2">
        <f>SUMIFS([1]Sheet1!D:D,[1]Sheet1!A:A,A632,[1]Sheet1!E:E,"Mallas")</f>
        <v>0</v>
      </c>
      <c r="F632" s="2">
        <f>SUMIFS([1]Sheet1!D:D,[1]Sheet1!A:A,A632,[1]Sheet1!E:E,"Materia Prima")</f>
        <v>149.80000000000001</v>
      </c>
      <c r="G632" s="2">
        <f t="shared" si="36"/>
        <v>0.18461538461538463</v>
      </c>
      <c r="H632">
        <f t="shared" si="37"/>
        <v>2</v>
      </c>
      <c r="I632" s="2">
        <f t="shared" si="38"/>
        <v>0.18461538461538463</v>
      </c>
      <c r="J632" s="2">
        <f t="shared" si="39"/>
        <v>0</v>
      </c>
    </row>
    <row r="633" spans="1:10" x14ac:dyDescent="0.3">
      <c r="A633">
        <v>1000017572</v>
      </c>
      <c r="B633" s="1">
        <f>VLOOKUP(A633,[1]Sheet1!A:B,2,FALSE)</f>
        <v>40570</v>
      </c>
      <c r="C633" s="2">
        <v>0</v>
      </c>
      <c r="D633" s="2">
        <f>SUMIFS([1]Sheet1!D:D,[1]Sheet1!A:A,A633,[1]Sheet1!E:E,"Figurado")</f>
        <v>0</v>
      </c>
      <c r="E633" s="2">
        <f>SUMIFS([1]Sheet1!D:D,[1]Sheet1!A:A,A633,[1]Sheet1!E:E,"Mallas")</f>
        <v>0</v>
      </c>
      <c r="F633" s="2">
        <f>SUMIFS([1]Sheet1!D:D,[1]Sheet1!A:A,A633,[1]Sheet1!E:E,"Materia Prima")</f>
        <v>270</v>
      </c>
      <c r="G633" s="2">
        <f t="shared" si="36"/>
        <v>0</v>
      </c>
      <c r="H633">
        <f t="shared" si="37"/>
        <v>1</v>
      </c>
      <c r="I633" s="2">
        <f t="shared" si="38"/>
        <v>0</v>
      </c>
      <c r="J633" s="2">
        <f t="shared" si="39"/>
        <v>0</v>
      </c>
    </row>
    <row r="634" spans="1:10" x14ac:dyDescent="0.3">
      <c r="A634">
        <v>1000017574</v>
      </c>
      <c r="B634" s="1">
        <f>VLOOKUP(A634,[1]Sheet1!A:B,2,FALSE)</f>
        <v>40570</v>
      </c>
      <c r="C634" s="2">
        <v>0</v>
      </c>
      <c r="D634" s="2">
        <f>SUMIFS([1]Sheet1!D:D,[1]Sheet1!A:A,A634,[1]Sheet1!E:E,"Figurado")</f>
        <v>564.29999999999995</v>
      </c>
      <c r="E634" s="2">
        <f>SUMIFS([1]Sheet1!D:D,[1]Sheet1!A:A,A634,[1]Sheet1!E:E,"Mallas")</f>
        <v>0</v>
      </c>
      <c r="F634" s="2">
        <f>SUMIFS([1]Sheet1!D:D,[1]Sheet1!A:A,A634,[1]Sheet1!E:E,"Materia Prima")</f>
        <v>108</v>
      </c>
      <c r="G634" s="2">
        <f t="shared" si="36"/>
        <v>0.21703846153846151</v>
      </c>
      <c r="H634">
        <f t="shared" si="37"/>
        <v>2</v>
      </c>
      <c r="I634" s="2">
        <f t="shared" si="38"/>
        <v>0.21703846153846151</v>
      </c>
      <c r="J634" s="2">
        <f t="shared" si="39"/>
        <v>0</v>
      </c>
    </row>
    <row r="635" spans="1:10" x14ac:dyDescent="0.3">
      <c r="A635">
        <v>1000017576</v>
      </c>
      <c r="B635" s="1">
        <f>VLOOKUP(A635,[1]Sheet1!A:B,2,FALSE)</f>
        <v>40570</v>
      </c>
      <c r="C635" s="2">
        <v>0</v>
      </c>
      <c r="D635" s="2">
        <f>SUMIFS([1]Sheet1!D:D,[1]Sheet1!A:A,A635,[1]Sheet1!E:E,"Figurado")</f>
        <v>782.6</v>
      </c>
      <c r="E635" s="2">
        <f>SUMIFS([1]Sheet1!D:D,[1]Sheet1!A:A,A635,[1]Sheet1!E:E,"Mallas")</f>
        <v>0</v>
      </c>
      <c r="F635" s="2">
        <f>SUMIFS([1]Sheet1!D:D,[1]Sheet1!A:A,A635,[1]Sheet1!E:E,"Materia Prima")</f>
        <v>0</v>
      </c>
      <c r="G635" s="2">
        <f t="shared" si="36"/>
        <v>0.30099999999999999</v>
      </c>
      <c r="H635">
        <f t="shared" si="37"/>
        <v>1</v>
      </c>
      <c r="I635" s="2">
        <f t="shared" si="38"/>
        <v>0.30099999999999999</v>
      </c>
      <c r="J635" s="2">
        <f t="shared" si="39"/>
        <v>0</v>
      </c>
    </row>
    <row r="636" spans="1:10" x14ac:dyDescent="0.3">
      <c r="A636">
        <v>1000017577</v>
      </c>
      <c r="B636" s="1">
        <f>VLOOKUP(A636,[1]Sheet1!A:B,2,FALSE)</f>
        <v>40570</v>
      </c>
      <c r="C636" s="2">
        <v>0</v>
      </c>
      <c r="D636" s="2">
        <f>SUMIFS([1]Sheet1!D:D,[1]Sheet1!A:A,A636,[1]Sheet1!E:E,"Figurado")</f>
        <v>478.5</v>
      </c>
      <c r="E636" s="2">
        <f>SUMIFS([1]Sheet1!D:D,[1]Sheet1!A:A,A636,[1]Sheet1!E:E,"Mallas")</f>
        <v>0</v>
      </c>
      <c r="F636" s="2">
        <f>SUMIFS([1]Sheet1!D:D,[1]Sheet1!A:A,A636,[1]Sheet1!E:E,"Materia Prima")</f>
        <v>108</v>
      </c>
      <c r="G636" s="2">
        <f t="shared" si="36"/>
        <v>0.18403846153846154</v>
      </c>
      <c r="H636">
        <f t="shared" si="37"/>
        <v>2</v>
      </c>
      <c r="I636" s="2">
        <f t="shared" si="38"/>
        <v>0.18403846153846154</v>
      </c>
      <c r="J636" s="2">
        <f t="shared" si="39"/>
        <v>0</v>
      </c>
    </row>
    <row r="637" spans="1:10" x14ac:dyDescent="0.3">
      <c r="A637">
        <v>1000017608</v>
      </c>
      <c r="B637" s="1">
        <f>VLOOKUP(A637,[1]Sheet1!A:B,2,FALSE)</f>
        <v>40570</v>
      </c>
      <c r="C637" s="2">
        <v>0</v>
      </c>
      <c r="D637" s="2">
        <f>SUMIFS([1]Sheet1!D:D,[1]Sheet1!A:A,A637,[1]Sheet1!E:E,"Figurado")</f>
        <v>0</v>
      </c>
      <c r="E637" s="2">
        <f>SUMIFS([1]Sheet1!D:D,[1]Sheet1!A:A,A637,[1]Sheet1!E:E,"Mallas")</f>
        <v>0</v>
      </c>
      <c r="F637" s="2">
        <f>SUMIFS([1]Sheet1!D:D,[1]Sheet1!A:A,A637,[1]Sheet1!E:E,"Materia Prima")</f>
        <v>9417.6</v>
      </c>
      <c r="G637" s="2">
        <f t="shared" si="36"/>
        <v>0</v>
      </c>
      <c r="H637">
        <f t="shared" si="37"/>
        <v>1</v>
      </c>
      <c r="I637" s="2">
        <f t="shared" si="38"/>
        <v>0</v>
      </c>
      <c r="J637" s="2">
        <f t="shared" si="39"/>
        <v>0</v>
      </c>
    </row>
    <row r="638" spans="1:10" x14ac:dyDescent="0.3">
      <c r="A638">
        <v>1000017627</v>
      </c>
      <c r="B638" s="1">
        <f>VLOOKUP(A638,[1]Sheet1!A:B,2,FALSE)</f>
        <v>40571</v>
      </c>
      <c r="C638" s="2">
        <v>0</v>
      </c>
      <c r="D638" s="2">
        <f>SUMIFS([1]Sheet1!D:D,[1]Sheet1!A:A,A638,[1]Sheet1!E:E,"Figurado")</f>
        <v>0</v>
      </c>
      <c r="E638" s="2">
        <f>SUMIFS([1]Sheet1!D:D,[1]Sheet1!A:A,A638,[1]Sheet1!E:E,"Mallas")</f>
        <v>0</v>
      </c>
      <c r="F638" s="2">
        <f>SUMIFS([1]Sheet1!D:D,[1]Sheet1!A:A,A638,[1]Sheet1!E:E,"Materia Prima")</f>
        <v>400</v>
      </c>
      <c r="G638" s="2">
        <f t="shared" si="36"/>
        <v>0</v>
      </c>
      <c r="H638">
        <f t="shared" si="37"/>
        <v>1</v>
      </c>
      <c r="I638" s="2">
        <f t="shared" si="38"/>
        <v>0</v>
      </c>
      <c r="J638" s="2">
        <f t="shared" si="39"/>
        <v>0</v>
      </c>
    </row>
    <row r="639" spans="1:10" x14ac:dyDescent="0.3">
      <c r="A639">
        <v>1000017628</v>
      </c>
      <c r="B639" s="1">
        <f>VLOOKUP(A639,[1]Sheet1!A:B,2,FALSE)</f>
        <v>40571</v>
      </c>
      <c r="C639" s="2">
        <v>0</v>
      </c>
      <c r="D639" s="2">
        <f>SUMIFS([1]Sheet1!D:D,[1]Sheet1!A:A,A639,[1]Sheet1!E:E,"Figurado")</f>
        <v>0</v>
      </c>
      <c r="E639" s="2">
        <f>SUMIFS([1]Sheet1!D:D,[1]Sheet1!A:A,A639,[1]Sheet1!E:E,"Mallas")</f>
        <v>0</v>
      </c>
      <c r="F639" s="2">
        <f>SUMIFS([1]Sheet1!D:D,[1]Sheet1!A:A,A639,[1]Sheet1!E:E,"Materia Prima")</f>
        <v>59.2</v>
      </c>
      <c r="G639" s="2">
        <f t="shared" si="36"/>
        <v>0</v>
      </c>
      <c r="H639">
        <f t="shared" si="37"/>
        <v>1</v>
      </c>
      <c r="I639" s="2">
        <f t="shared" si="38"/>
        <v>0</v>
      </c>
      <c r="J639" s="2">
        <f t="shared" si="39"/>
        <v>0</v>
      </c>
    </row>
    <row r="640" spans="1:10" x14ac:dyDescent="0.3">
      <c r="A640">
        <v>1000017634</v>
      </c>
      <c r="B640" s="1">
        <f>VLOOKUP(A640,[1]Sheet1!A:B,2,FALSE)</f>
        <v>40571</v>
      </c>
      <c r="C640" s="2">
        <v>0</v>
      </c>
      <c r="D640" s="2">
        <f>SUMIFS([1]Sheet1!D:D,[1]Sheet1!A:A,A640,[1]Sheet1!E:E,"Figurado")</f>
        <v>957.19999999999993</v>
      </c>
      <c r="E640" s="2">
        <f>SUMIFS([1]Sheet1!D:D,[1]Sheet1!A:A,A640,[1]Sheet1!E:E,"Mallas")</f>
        <v>0</v>
      </c>
      <c r="F640" s="2">
        <f>SUMIFS([1]Sheet1!D:D,[1]Sheet1!A:A,A640,[1]Sheet1!E:E,"Materia Prima")</f>
        <v>114.80000000000001</v>
      </c>
      <c r="G640" s="2">
        <f t="shared" si="36"/>
        <v>0.36815384615384611</v>
      </c>
      <c r="H640">
        <f t="shared" si="37"/>
        <v>2</v>
      </c>
      <c r="I640" s="2">
        <f t="shared" si="38"/>
        <v>0.36815384615384611</v>
      </c>
      <c r="J640" s="2">
        <f t="shared" si="39"/>
        <v>0</v>
      </c>
    </row>
    <row r="641" spans="1:10" x14ac:dyDescent="0.3">
      <c r="A641">
        <v>1000017636</v>
      </c>
      <c r="B641" s="1">
        <f>VLOOKUP(A641,[1]Sheet1!A:B,2,FALSE)</f>
        <v>40571</v>
      </c>
      <c r="C641" s="2">
        <v>0</v>
      </c>
      <c r="D641" s="2">
        <f>SUMIFS([1]Sheet1!D:D,[1]Sheet1!A:A,A641,[1]Sheet1!E:E,"Figurado")</f>
        <v>504.9</v>
      </c>
      <c r="E641" s="2">
        <f>SUMIFS([1]Sheet1!D:D,[1]Sheet1!A:A,A641,[1]Sheet1!E:E,"Mallas")</f>
        <v>0</v>
      </c>
      <c r="F641" s="2">
        <f>SUMIFS([1]Sheet1!D:D,[1]Sheet1!A:A,A641,[1]Sheet1!E:E,"Materia Prima")</f>
        <v>57.400000000000006</v>
      </c>
      <c r="G641" s="2">
        <f t="shared" si="36"/>
        <v>0.19419230769230769</v>
      </c>
      <c r="H641">
        <f t="shared" si="37"/>
        <v>2</v>
      </c>
      <c r="I641" s="2">
        <f t="shared" si="38"/>
        <v>0.19419230769230769</v>
      </c>
      <c r="J641" s="2">
        <f t="shared" si="39"/>
        <v>0</v>
      </c>
    </row>
    <row r="642" spans="1:10" x14ac:dyDescent="0.3">
      <c r="A642">
        <v>1000017637</v>
      </c>
      <c r="B642" s="1">
        <f>VLOOKUP(A642,[1]Sheet1!A:B,2,FALSE)</f>
        <v>40571</v>
      </c>
      <c r="C642" s="2">
        <v>0</v>
      </c>
      <c r="D642" s="2">
        <f>SUMIFS([1]Sheet1!D:D,[1]Sheet1!A:A,A642,[1]Sheet1!E:E,"Figurado")</f>
        <v>504.9</v>
      </c>
      <c r="E642" s="2">
        <f>SUMIFS([1]Sheet1!D:D,[1]Sheet1!A:A,A642,[1]Sheet1!E:E,"Mallas")</f>
        <v>0</v>
      </c>
      <c r="F642" s="2">
        <f>SUMIFS([1]Sheet1!D:D,[1]Sheet1!A:A,A642,[1]Sheet1!E:E,"Materia Prima")</f>
        <v>57.400000000000006</v>
      </c>
      <c r="G642" s="2">
        <f t="shared" si="36"/>
        <v>0.19419230769230769</v>
      </c>
      <c r="H642">
        <f t="shared" si="37"/>
        <v>2</v>
      </c>
      <c r="I642" s="2">
        <f t="shared" si="38"/>
        <v>0.19419230769230769</v>
      </c>
      <c r="J642" s="2">
        <f t="shared" si="39"/>
        <v>0</v>
      </c>
    </row>
    <row r="643" spans="1:10" x14ac:dyDescent="0.3">
      <c r="A643">
        <v>1000017640</v>
      </c>
      <c r="B643" s="1">
        <f>VLOOKUP(A643,[1]Sheet1!A:B,2,FALSE)</f>
        <v>40571</v>
      </c>
      <c r="C643" s="2">
        <v>0</v>
      </c>
      <c r="D643" s="2">
        <f>SUMIFS([1]Sheet1!D:D,[1]Sheet1!A:A,A643,[1]Sheet1!E:E,"Figurado")</f>
        <v>0</v>
      </c>
      <c r="E643" s="2">
        <f>SUMIFS([1]Sheet1!D:D,[1]Sheet1!A:A,A643,[1]Sheet1!E:E,"Mallas")</f>
        <v>5493</v>
      </c>
      <c r="F643" s="2">
        <f>SUMIFS([1]Sheet1!D:D,[1]Sheet1!A:A,A643,[1]Sheet1!E:E,"Materia Prima")</f>
        <v>0</v>
      </c>
      <c r="G643" s="2">
        <f t="shared" ref="G643:G706" si="40">(D643/2600)+(E643/800)</f>
        <v>6.86625</v>
      </c>
      <c r="H643">
        <f t="shared" ref="H643:H706" si="41">(IF(D643&gt;0,1,0) + IF(E643&gt;0,1,0) + IF(F643&gt;0,1,0))</f>
        <v>1</v>
      </c>
      <c r="I643" s="2">
        <f t="shared" ref="I643:I706" si="42">D643/2600</f>
        <v>0</v>
      </c>
      <c r="J643" s="2">
        <f t="shared" ref="J643:J706" si="43">E643/800</f>
        <v>6.86625</v>
      </c>
    </row>
    <row r="644" spans="1:10" x14ac:dyDescent="0.3">
      <c r="A644">
        <v>1000017641</v>
      </c>
      <c r="B644" s="1">
        <f>VLOOKUP(A644,[1]Sheet1!A:B,2,FALSE)</f>
        <v>40571</v>
      </c>
      <c r="C644" s="2">
        <v>0</v>
      </c>
      <c r="D644" s="2">
        <f>SUMIFS([1]Sheet1!D:D,[1]Sheet1!A:A,A644,[1]Sheet1!E:E,"Figurado")</f>
        <v>0</v>
      </c>
      <c r="E644" s="2">
        <f>SUMIFS([1]Sheet1!D:D,[1]Sheet1!A:A,A644,[1]Sheet1!E:E,"Mallas")</f>
        <v>2289.5</v>
      </c>
      <c r="F644" s="2">
        <f>SUMIFS([1]Sheet1!D:D,[1]Sheet1!A:A,A644,[1]Sheet1!E:E,"Materia Prima")</f>
        <v>0</v>
      </c>
      <c r="G644" s="2">
        <f t="shared" si="40"/>
        <v>2.8618749999999999</v>
      </c>
      <c r="H644">
        <f t="shared" si="41"/>
        <v>1</v>
      </c>
      <c r="I644" s="2">
        <f t="shared" si="42"/>
        <v>0</v>
      </c>
      <c r="J644" s="2">
        <f t="shared" si="43"/>
        <v>2.8618749999999999</v>
      </c>
    </row>
    <row r="645" spans="1:10" x14ac:dyDescent="0.3">
      <c r="A645">
        <v>1000017642</v>
      </c>
      <c r="B645" s="1">
        <f>VLOOKUP(A645,[1]Sheet1!A:B,2,FALSE)</f>
        <v>40571</v>
      </c>
      <c r="C645" s="2">
        <v>0</v>
      </c>
      <c r="D645" s="2">
        <f>SUMIFS([1]Sheet1!D:D,[1]Sheet1!A:A,A645,[1]Sheet1!E:E,"Figurado")</f>
        <v>0</v>
      </c>
      <c r="E645" s="2">
        <f>SUMIFS([1]Sheet1!D:D,[1]Sheet1!A:A,A645,[1]Sheet1!E:E,"Mallas")</f>
        <v>1482</v>
      </c>
      <c r="F645" s="2">
        <f>SUMIFS([1]Sheet1!D:D,[1]Sheet1!A:A,A645,[1]Sheet1!E:E,"Materia Prima")</f>
        <v>0</v>
      </c>
      <c r="G645" s="2">
        <f t="shared" si="40"/>
        <v>1.8525</v>
      </c>
      <c r="H645">
        <f t="shared" si="41"/>
        <v>1</v>
      </c>
      <c r="I645" s="2">
        <f t="shared" si="42"/>
        <v>0</v>
      </c>
      <c r="J645" s="2">
        <f t="shared" si="43"/>
        <v>1.8525</v>
      </c>
    </row>
    <row r="646" spans="1:10" x14ac:dyDescent="0.3">
      <c r="A646">
        <v>1000017662</v>
      </c>
      <c r="B646" s="1">
        <f>VLOOKUP(A646,[1]Sheet1!A:B,2,FALSE)</f>
        <v>40571</v>
      </c>
      <c r="C646" s="2">
        <v>0</v>
      </c>
      <c r="D646" s="2">
        <f>SUMIFS([1]Sheet1!D:D,[1]Sheet1!A:A,A646,[1]Sheet1!E:E,"Figurado")</f>
        <v>766.4</v>
      </c>
      <c r="E646" s="2">
        <f>SUMIFS([1]Sheet1!D:D,[1]Sheet1!A:A,A646,[1]Sheet1!E:E,"Mallas")</f>
        <v>0</v>
      </c>
      <c r="F646" s="2">
        <f>SUMIFS([1]Sheet1!D:D,[1]Sheet1!A:A,A646,[1]Sheet1!E:E,"Materia Prima")</f>
        <v>0</v>
      </c>
      <c r="G646" s="2">
        <f t="shared" si="40"/>
        <v>0.29476923076923078</v>
      </c>
      <c r="H646">
        <f t="shared" si="41"/>
        <v>1</v>
      </c>
      <c r="I646" s="2">
        <f t="shared" si="42"/>
        <v>0.29476923076923078</v>
      </c>
      <c r="J646" s="2">
        <f t="shared" si="43"/>
        <v>0</v>
      </c>
    </row>
    <row r="647" spans="1:10" x14ac:dyDescent="0.3">
      <c r="A647">
        <v>1000017663</v>
      </c>
      <c r="B647" s="1">
        <f>VLOOKUP(A647,[1]Sheet1!A:B,2,FALSE)</f>
        <v>40571</v>
      </c>
      <c r="C647" s="2">
        <v>0</v>
      </c>
      <c r="D647" s="2">
        <f>SUMIFS([1]Sheet1!D:D,[1]Sheet1!A:A,A647,[1]Sheet1!E:E,"Figurado")</f>
        <v>1268.9000000000001</v>
      </c>
      <c r="E647" s="2">
        <f>SUMIFS([1]Sheet1!D:D,[1]Sheet1!A:A,A647,[1]Sheet1!E:E,"Mallas")</f>
        <v>0</v>
      </c>
      <c r="F647" s="2">
        <f>SUMIFS([1]Sheet1!D:D,[1]Sheet1!A:A,A647,[1]Sheet1!E:E,"Materia Prima")</f>
        <v>0</v>
      </c>
      <c r="G647" s="2">
        <f t="shared" si="40"/>
        <v>0.48803846153846159</v>
      </c>
      <c r="H647">
        <f t="shared" si="41"/>
        <v>1</v>
      </c>
      <c r="I647" s="2">
        <f t="shared" si="42"/>
        <v>0.48803846153846159</v>
      </c>
      <c r="J647" s="2">
        <f t="shared" si="43"/>
        <v>0</v>
      </c>
    </row>
    <row r="648" spans="1:10" x14ac:dyDescent="0.3">
      <c r="A648">
        <v>1000017664</v>
      </c>
      <c r="B648" s="1">
        <f>VLOOKUP(A648,[1]Sheet1!A:B,2,FALSE)</f>
        <v>40571</v>
      </c>
      <c r="C648" s="2">
        <v>0</v>
      </c>
      <c r="D648" s="2">
        <f>SUMIFS([1]Sheet1!D:D,[1]Sheet1!A:A,A648,[1]Sheet1!E:E,"Figurado")</f>
        <v>877.6</v>
      </c>
      <c r="E648" s="2">
        <f>SUMIFS([1]Sheet1!D:D,[1]Sheet1!A:A,A648,[1]Sheet1!E:E,"Mallas")</f>
        <v>0</v>
      </c>
      <c r="F648" s="2">
        <f>SUMIFS([1]Sheet1!D:D,[1]Sheet1!A:A,A648,[1]Sheet1!E:E,"Materia Prima")</f>
        <v>0</v>
      </c>
      <c r="G648" s="2">
        <f t="shared" si="40"/>
        <v>0.33753846153846156</v>
      </c>
      <c r="H648">
        <f t="shared" si="41"/>
        <v>1</v>
      </c>
      <c r="I648" s="2">
        <f t="shared" si="42"/>
        <v>0.33753846153846156</v>
      </c>
      <c r="J648" s="2">
        <f t="shared" si="43"/>
        <v>0</v>
      </c>
    </row>
    <row r="649" spans="1:10" x14ac:dyDescent="0.3">
      <c r="A649">
        <v>1000017665</v>
      </c>
      <c r="B649" s="1">
        <f>VLOOKUP(A649,[1]Sheet1!A:B,2,FALSE)</f>
        <v>40571</v>
      </c>
      <c r="C649" s="2">
        <v>0</v>
      </c>
      <c r="D649" s="2">
        <f>SUMIFS([1]Sheet1!D:D,[1]Sheet1!A:A,A649,[1]Sheet1!E:E,"Figurado")</f>
        <v>1599.3</v>
      </c>
      <c r="E649" s="2">
        <f>SUMIFS([1]Sheet1!D:D,[1]Sheet1!A:A,A649,[1]Sheet1!E:E,"Mallas")</f>
        <v>0</v>
      </c>
      <c r="F649" s="2">
        <f>SUMIFS([1]Sheet1!D:D,[1]Sheet1!A:A,A649,[1]Sheet1!E:E,"Materia Prima")</f>
        <v>96</v>
      </c>
      <c r="G649" s="2">
        <f t="shared" si="40"/>
        <v>0.61511538461538462</v>
      </c>
      <c r="H649">
        <f t="shared" si="41"/>
        <v>2</v>
      </c>
      <c r="I649" s="2">
        <f t="shared" si="42"/>
        <v>0.61511538461538462</v>
      </c>
      <c r="J649" s="2">
        <f t="shared" si="43"/>
        <v>0</v>
      </c>
    </row>
    <row r="650" spans="1:10" x14ac:dyDescent="0.3">
      <c r="A650">
        <v>1000017671</v>
      </c>
      <c r="B650" s="1">
        <f>VLOOKUP(A650,[1]Sheet1!A:B,2,FALSE)</f>
        <v>40572</v>
      </c>
      <c r="C650" s="2">
        <v>0</v>
      </c>
      <c r="D650" s="2">
        <f>SUMIFS([1]Sheet1!D:D,[1]Sheet1!A:A,A650,[1]Sheet1!E:E,"Figurado")</f>
        <v>6629.2000000000007</v>
      </c>
      <c r="E650" s="2">
        <f>SUMIFS([1]Sheet1!D:D,[1]Sheet1!A:A,A650,[1]Sheet1!E:E,"Mallas")</f>
        <v>0</v>
      </c>
      <c r="F650" s="2">
        <f>SUMIFS([1]Sheet1!D:D,[1]Sheet1!A:A,A650,[1]Sheet1!E:E,"Materia Prima")</f>
        <v>0</v>
      </c>
      <c r="G650" s="2">
        <f t="shared" si="40"/>
        <v>2.5496923076923079</v>
      </c>
      <c r="H650">
        <f t="shared" si="41"/>
        <v>1</v>
      </c>
      <c r="I650" s="2">
        <f t="shared" si="42"/>
        <v>2.5496923076923079</v>
      </c>
      <c r="J650" s="2">
        <f t="shared" si="43"/>
        <v>0</v>
      </c>
    </row>
    <row r="651" spans="1:10" x14ac:dyDescent="0.3">
      <c r="A651">
        <v>1000017672</v>
      </c>
      <c r="B651" s="1">
        <f>VLOOKUP(A651,[1]Sheet1!A:B,2,FALSE)</f>
        <v>40572</v>
      </c>
      <c r="C651" s="2">
        <v>0</v>
      </c>
      <c r="D651" s="2">
        <f>SUMIFS([1]Sheet1!D:D,[1]Sheet1!A:A,A651,[1]Sheet1!E:E,"Figurado")</f>
        <v>156.5</v>
      </c>
      <c r="E651" s="2">
        <f>SUMIFS([1]Sheet1!D:D,[1]Sheet1!A:A,A651,[1]Sheet1!E:E,"Mallas")</f>
        <v>0</v>
      </c>
      <c r="F651" s="2">
        <f>SUMIFS([1]Sheet1!D:D,[1]Sheet1!A:A,A651,[1]Sheet1!E:E,"Materia Prima")</f>
        <v>0</v>
      </c>
      <c r="G651" s="2">
        <f t="shared" si="40"/>
        <v>6.0192307692307691E-2</v>
      </c>
      <c r="H651">
        <f t="shared" si="41"/>
        <v>1</v>
      </c>
      <c r="I651" s="2">
        <f t="shared" si="42"/>
        <v>6.0192307692307691E-2</v>
      </c>
      <c r="J651" s="2">
        <f t="shared" si="43"/>
        <v>0</v>
      </c>
    </row>
    <row r="652" spans="1:10" x14ac:dyDescent="0.3">
      <c r="A652">
        <v>1000017675</v>
      </c>
      <c r="B652" s="1">
        <f>VLOOKUP(A652,[1]Sheet1!A:B,2,FALSE)</f>
        <v>40572</v>
      </c>
      <c r="C652" s="2">
        <v>0</v>
      </c>
      <c r="D652" s="2">
        <f>SUMIFS([1]Sheet1!D:D,[1]Sheet1!A:A,A652,[1]Sheet1!E:E,"Figurado")</f>
        <v>3009.7</v>
      </c>
      <c r="E652" s="2">
        <f>SUMIFS([1]Sheet1!D:D,[1]Sheet1!A:A,A652,[1]Sheet1!E:E,"Mallas")</f>
        <v>0</v>
      </c>
      <c r="F652" s="2">
        <f>SUMIFS([1]Sheet1!D:D,[1]Sheet1!A:A,A652,[1]Sheet1!E:E,"Materia Prima")</f>
        <v>0</v>
      </c>
      <c r="G652" s="2">
        <f t="shared" si="40"/>
        <v>1.1575769230769231</v>
      </c>
      <c r="H652">
        <f t="shared" si="41"/>
        <v>1</v>
      </c>
      <c r="I652" s="2">
        <f t="shared" si="42"/>
        <v>1.1575769230769231</v>
      </c>
      <c r="J652" s="2">
        <f t="shared" si="43"/>
        <v>0</v>
      </c>
    </row>
    <row r="653" spans="1:10" x14ac:dyDescent="0.3">
      <c r="A653">
        <v>1000017678</v>
      </c>
      <c r="B653" s="1">
        <f>VLOOKUP(A653,[1]Sheet1!A:B,2,FALSE)</f>
        <v>40572</v>
      </c>
      <c r="C653" s="2">
        <v>0</v>
      </c>
      <c r="D653" s="2">
        <f>SUMIFS([1]Sheet1!D:D,[1]Sheet1!A:A,A653,[1]Sheet1!E:E,"Figurado")</f>
        <v>0</v>
      </c>
      <c r="E653" s="2">
        <f>SUMIFS([1]Sheet1!D:D,[1]Sheet1!A:A,A653,[1]Sheet1!E:E,"Mallas")</f>
        <v>0</v>
      </c>
      <c r="F653" s="2">
        <f>SUMIFS([1]Sheet1!D:D,[1]Sheet1!A:A,A653,[1]Sheet1!E:E,"Materia Prima")</f>
        <v>236.8</v>
      </c>
      <c r="G653" s="2">
        <f t="shared" si="40"/>
        <v>0</v>
      </c>
      <c r="H653">
        <f t="shared" si="41"/>
        <v>1</v>
      </c>
      <c r="I653" s="2">
        <f t="shared" si="42"/>
        <v>0</v>
      </c>
      <c r="J653" s="2">
        <f t="shared" si="43"/>
        <v>0</v>
      </c>
    </row>
    <row r="654" spans="1:10" x14ac:dyDescent="0.3">
      <c r="A654">
        <v>1000017679</v>
      </c>
      <c r="B654" s="1">
        <f>VLOOKUP(A654,[1]Sheet1!A:B,2,FALSE)</f>
        <v>40572</v>
      </c>
      <c r="C654" s="2">
        <v>0</v>
      </c>
      <c r="D654" s="2">
        <f>SUMIFS([1]Sheet1!D:D,[1]Sheet1!A:A,A654,[1]Sheet1!E:E,"Figurado")</f>
        <v>0</v>
      </c>
      <c r="E654" s="2">
        <f>SUMIFS([1]Sheet1!D:D,[1]Sheet1!A:A,A654,[1]Sheet1!E:E,"Mallas")</f>
        <v>0</v>
      </c>
      <c r="F654" s="2">
        <f>SUMIFS([1]Sheet1!D:D,[1]Sheet1!A:A,A654,[1]Sheet1!E:E,"Materia Prima")</f>
        <v>320</v>
      </c>
      <c r="G654" s="2">
        <f t="shared" si="40"/>
        <v>0</v>
      </c>
      <c r="H654">
        <f t="shared" si="41"/>
        <v>1</v>
      </c>
      <c r="I654" s="2">
        <f t="shared" si="42"/>
        <v>0</v>
      </c>
      <c r="J654" s="2">
        <f t="shared" si="43"/>
        <v>0</v>
      </c>
    </row>
    <row r="655" spans="1:10" x14ac:dyDescent="0.3">
      <c r="A655">
        <v>1000017680</v>
      </c>
      <c r="B655" s="1">
        <f>VLOOKUP(A655,[1]Sheet1!A:B,2,FALSE)</f>
        <v>40572</v>
      </c>
      <c r="C655" s="2">
        <v>0</v>
      </c>
      <c r="D655" s="2">
        <f>SUMIFS([1]Sheet1!D:D,[1]Sheet1!A:A,A655,[1]Sheet1!E:E,"Figurado")</f>
        <v>0</v>
      </c>
      <c r="E655" s="2">
        <f>SUMIFS([1]Sheet1!D:D,[1]Sheet1!A:A,A655,[1]Sheet1!E:E,"Mallas")</f>
        <v>10611.04</v>
      </c>
      <c r="F655" s="2">
        <f>SUMIFS([1]Sheet1!D:D,[1]Sheet1!A:A,A655,[1]Sheet1!E:E,"Materia Prima")</f>
        <v>0</v>
      </c>
      <c r="G655" s="2">
        <f t="shared" si="40"/>
        <v>13.263800000000002</v>
      </c>
      <c r="H655">
        <f t="shared" si="41"/>
        <v>1</v>
      </c>
      <c r="I655" s="2">
        <f t="shared" si="42"/>
        <v>0</v>
      </c>
      <c r="J655" s="2">
        <f t="shared" si="43"/>
        <v>13.263800000000002</v>
      </c>
    </row>
    <row r="656" spans="1:10" x14ac:dyDescent="0.3">
      <c r="A656">
        <v>1000017683</v>
      </c>
      <c r="B656" s="1">
        <f>VLOOKUP(A656,[1]Sheet1!A:B,2,FALSE)</f>
        <v>40572</v>
      </c>
      <c r="C656" s="2">
        <v>0</v>
      </c>
      <c r="D656" s="2">
        <f>SUMIFS([1]Sheet1!D:D,[1]Sheet1!A:A,A656,[1]Sheet1!E:E,"Figurado")</f>
        <v>3714.8</v>
      </c>
      <c r="E656" s="2">
        <f>SUMIFS([1]Sheet1!D:D,[1]Sheet1!A:A,A656,[1]Sheet1!E:E,"Mallas")</f>
        <v>0</v>
      </c>
      <c r="F656" s="2">
        <f>SUMIFS([1]Sheet1!D:D,[1]Sheet1!A:A,A656,[1]Sheet1!E:E,"Materia Prima")</f>
        <v>0</v>
      </c>
      <c r="G656" s="2">
        <f t="shared" si="40"/>
        <v>1.4287692307692308</v>
      </c>
      <c r="H656">
        <f t="shared" si="41"/>
        <v>1</v>
      </c>
      <c r="I656" s="2">
        <f t="shared" si="42"/>
        <v>1.4287692307692308</v>
      </c>
      <c r="J656" s="2">
        <f t="shared" si="43"/>
        <v>0</v>
      </c>
    </row>
    <row r="657" spans="1:10" x14ac:dyDescent="0.3">
      <c r="A657">
        <v>1000017684</v>
      </c>
      <c r="B657" s="1">
        <f>VLOOKUP(A657,[1]Sheet1!A:B,2,FALSE)</f>
        <v>40572</v>
      </c>
      <c r="C657" s="2">
        <v>0</v>
      </c>
      <c r="D657" s="2">
        <f>SUMIFS([1]Sheet1!D:D,[1]Sheet1!A:A,A657,[1]Sheet1!E:E,"Figurado")</f>
        <v>0</v>
      </c>
      <c r="E657" s="2">
        <f>SUMIFS([1]Sheet1!D:D,[1]Sheet1!A:A,A657,[1]Sheet1!E:E,"Mallas")</f>
        <v>0</v>
      </c>
      <c r="F657" s="2">
        <f>SUMIFS([1]Sheet1!D:D,[1]Sheet1!A:A,A657,[1]Sheet1!E:E,"Materia Prima")</f>
        <v>7608</v>
      </c>
      <c r="G657" s="2">
        <f t="shared" si="40"/>
        <v>0</v>
      </c>
      <c r="H657">
        <f t="shared" si="41"/>
        <v>1</v>
      </c>
      <c r="I657" s="2">
        <f t="shared" si="42"/>
        <v>0</v>
      </c>
      <c r="J657" s="2">
        <f t="shared" si="43"/>
        <v>0</v>
      </c>
    </row>
    <row r="658" spans="1:10" x14ac:dyDescent="0.3">
      <c r="A658">
        <v>1000017694</v>
      </c>
      <c r="B658" s="1">
        <f>VLOOKUP(A658,[1]Sheet1!A:B,2,FALSE)</f>
        <v>40572</v>
      </c>
      <c r="C658" s="2">
        <v>0</v>
      </c>
      <c r="D658" s="2">
        <f>SUMIFS([1]Sheet1!D:D,[1]Sheet1!A:A,A658,[1]Sheet1!E:E,"Figurado")</f>
        <v>3260.6</v>
      </c>
      <c r="E658" s="2">
        <f>SUMIFS([1]Sheet1!D:D,[1]Sheet1!A:A,A658,[1]Sheet1!E:E,"Mallas")</f>
        <v>0</v>
      </c>
      <c r="F658" s="2">
        <f>SUMIFS([1]Sheet1!D:D,[1]Sheet1!A:A,A658,[1]Sheet1!E:E,"Materia Prima")</f>
        <v>54</v>
      </c>
      <c r="G658" s="2">
        <f t="shared" si="40"/>
        <v>1.2540769230769231</v>
      </c>
      <c r="H658">
        <f t="shared" si="41"/>
        <v>2</v>
      </c>
      <c r="I658" s="2">
        <f t="shared" si="42"/>
        <v>1.2540769230769231</v>
      </c>
      <c r="J658" s="2">
        <f t="shared" si="43"/>
        <v>0</v>
      </c>
    </row>
    <row r="659" spans="1:10" x14ac:dyDescent="0.3">
      <c r="A659">
        <v>1000017695</v>
      </c>
      <c r="B659" s="1">
        <f>VLOOKUP(A659,[1]Sheet1!A:B,2,FALSE)</f>
        <v>40572</v>
      </c>
      <c r="C659" s="2">
        <v>0</v>
      </c>
      <c r="D659" s="2">
        <f>SUMIFS([1]Sheet1!D:D,[1]Sheet1!A:A,A659,[1]Sheet1!E:E,"Figurado")</f>
        <v>7565.8</v>
      </c>
      <c r="E659" s="2">
        <f>SUMIFS([1]Sheet1!D:D,[1]Sheet1!A:A,A659,[1]Sheet1!E:E,"Mallas")</f>
        <v>0</v>
      </c>
      <c r="F659" s="2">
        <f>SUMIFS([1]Sheet1!D:D,[1]Sheet1!A:A,A659,[1]Sheet1!E:E,"Materia Prima")</f>
        <v>0</v>
      </c>
      <c r="G659" s="2">
        <f t="shared" si="40"/>
        <v>2.9099230769230768</v>
      </c>
      <c r="H659">
        <f t="shared" si="41"/>
        <v>1</v>
      </c>
      <c r="I659" s="2">
        <f t="shared" si="42"/>
        <v>2.9099230769230768</v>
      </c>
      <c r="J659" s="2">
        <f t="shared" si="43"/>
        <v>0</v>
      </c>
    </row>
    <row r="660" spans="1:10" x14ac:dyDescent="0.3">
      <c r="A660">
        <v>1000017696</v>
      </c>
      <c r="B660" s="1">
        <f>VLOOKUP(A660,[1]Sheet1!A:B,2,FALSE)</f>
        <v>40572</v>
      </c>
      <c r="C660" s="2">
        <v>0</v>
      </c>
      <c r="D660" s="2">
        <f>SUMIFS([1]Sheet1!D:D,[1]Sheet1!A:A,A660,[1]Sheet1!E:E,"Figurado")</f>
        <v>0</v>
      </c>
      <c r="E660" s="2">
        <f>SUMIFS([1]Sheet1!D:D,[1]Sheet1!A:A,A660,[1]Sheet1!E:E,"Mallas")</f>
        <v>0</v>
      </c>
      <c r="F660" s="2">
        <f>SUMIFS([1]Sheet1!D:D,[1]Sheet1!A:A,A660,[1]Sheet1!E:E,"Materia Prima")</f>
        <v>108</v>
      </c>
      <c r="G660" s="2">
        <f t="shared" si="40"/>
        <v>0</v>
      </c>
      <c r="H660">
        <f t="shared" si="41"/>
        <v>1</v>
      </c>
      <c r="I660" s="2">
        <f t="shared" si="42"/>
        <v>0</v>
      </c>
      <c r="J660" s="2">
        <f t="shared" si="43"/>
        <v>0</v>
      </c>
    </row>
    <row r="661" spans="1:10" x14ac:dyDescent="0.3">
      <c r="A661">
        <v>1000017697</v>
      </c>
      <c r="B661" s="1">
        <f>VLOOKUP(A661,[1]Sheet1!A:B,2,FALSE)</f>
        <v>40572</v>
      </c>
      <c r="C661" s="2">
        <v>0</v>
      </c>
      <c r="D661" s="2">
        <f>SUMIFS([1]Sheet1!D:D,[1]Sheet1!A:A,A661,[1]Sheet1!E:E,"Figurado")</f>
        <v>10453.6</v>
      </c>
      <c r="E661" s="2">
        <f>SUMIFS([1]Sheet1!D:D,[1]Sheet1!A:A,A661,[1]Sheet1!E:E,"Mallas")</f>
        <v>0</v>
      </c>
      <c r="F661" s="2">
        <f>SUMIFS([1]Sheet1!D:D,[1]Sheet1!A:A,A661,[1]Sheet1!E:E,"Materia Prima")</f>
        <v>108</v>
      </c>
      <c r="G661" s="2">
        <f t="shared" si="40"/>
        <v>4.0206153846153851</v>
      </c>
      <c r="H661">
        <f t="shared" si="41"/>
        <v>2</v>
      </c>
      <c r="I661" s="2">
        <f t="shared" si="42"/>
        <v>4.0206153846153851</v>
      </c>
      <c r="J661" s="2">
        <f t="shared" si="43"/>
        <v>0</v>
      </c>
    </row>
    <row r="662" spans="1:10" x14ac:dyDescent="0.3">
      <c r="A662">
        <v>1000017698</v>
      </c>
      <c r="B662" s="1">
        <f>VLOOKUP(A662,[1]Sheet1!A:B,2,FALSE)</f>
        <v>40572</v>
      </c>
      <c r="C662" s="2">
        <v>0</v>
      </c>
      <c r="D662" s="2">
        <f>SUMIFS([1]Sheet1!D:D,[1]Sheet1!A:A,A662,[1]Sheet1!E:E,"Figurado")</f>
        <v>416.9</v>
      </c>
      <c r="E662" s="2">
        <f>SUMIFS([1]Sheet1!D:D,[1]Sheet1!A:A,A662,[1]Sheet1!E:E,"Mallas")</f>
        <v>0</v>
      </c>
      <c r="F662" s="2">
        <f>SUMIFS([1]Sheet1!D:D,[1]Sheet1!A:A,A662,[1]Sheet1!E:E,"Materia Prima")</f>
        <v>685</v>
      </c>
      <c r="G662" s="2">
        <f t="shared" si="40"/>
        <v>0.16034615384615383</v>
      </c>
      <c r="H662">
        <f t="shared" si="41"/>
        <v>2</v>
      </c>
      <c r="I662" s="2">
        <f t="shared" si="42"/>
        <v>0.16034615384615383</v>
      </c>
      <c r="J662" s="2">
        <f t="shared" si="43"/>
        <v>0</v>
      </c>
    </row>
    <row r="663" spans="1:10" x14ac:dyDescent="0.3">
      <c r="A663">
        <v>1000017699</v>
      </c>
      <c r="B663" s="1">
        <f>VLOOKUP(A663,[1]Sheet1!A:B,2,FALSE)</f>
        <v>40572</v>
      </c>
      <c r="C663" s="2">
        <v>0</v>
      </c>
      <c r="D663" s="2">
        <f>SUMIFS([1]Sheet1!D:D,[1]Sheet1!A:A,A663,[1]Sheet1!E:E,"Figurado")</f>
        <v>70.400000000000006</v>
      </c>
      <c r="E663" s="2">
        <f>SUMIFS([1]Sheet1!D:D,[1]Sheet1!A:A,A663,[1]Sheet1!E:E,"Mallas")</f>
        <v>0</v>
      </c>
      <c r="F663" s="2">
        <f>SUMIFS([1]Sheet1!D:D,[1]Sheet1!A:A,A663,[1]Sheet1!E:E,"Materia Prima")</f>
        <v>861.6</v>
      </c>
      <c r="G663" s="2">
        <f t="shared" si="40"/>
        <v>2.7076923076923078E-2</v>
      </c>
      <c r="H663">
        <f t="shared" si="41"/>
        <v>2</v>
      </c>
      <c r="I663" s="2">
        <f t="shared" si="42"/>
        <v>2.7076923076923078E-2</v>
      </c>
      <c r="J663" s="2">
        <f t="shared" si="43"/>
        <v>0</v>
      </c>
    </row>
    <row r="664" spans="1:10" x14ac:dyDescent="0.3">
      <c r="A664">
        <v>1000017700</v>
      </c>
      <c r="B664" s="1">
        <f>VLOOKUP(A664,[1]Sheet1!A:B,2,FALSE)</f>
        <v>40572</v>
      </c>
      <c r="C664" s="2">
        <v>0</v>
      </c>
      <c r="D664" s="2">
        <f>SUMIFS([1]Sheet1!D:D,[1]Sheet1!A:A,A664,[1]Sheet1!E:E,"Figurado")</f>
        <v>0</v>
      </c>
      <c r="E664" s="2">
        <f>SUMIFS([1]Sheet1!D:D,[1]Sheet1!A:A,A664,[1]Sheet1!E:E,"Mallas")</f>
        <v>0</v>
      </c>
      <c r="F664" s="2">
        <f>SUMIFS([1]Sheet1!D:D,[1]Sheet1!A:A,A664,[1]Sheet1!E:E,"Materia Prima")</f>
        <v>672</v>
      </c>
      <c r="G664" s="2">
        <f t="shared" si="40"/>
        <v>0</v>
      </c>
      <c r="H664">
        <f t="shared" si="41"/>
        <v>1</v>
      </c>
      <c r="I664" s="2">
        <f t="shared" si="42"/>
        <v>0</v>
      </c>
      <c r="J664" s="2">
        <f t="shared" si="43"/>
        <v>0</v>
      </c>
    </row>
    <row r="665" spans="1:10" x14ac:dyDescent="0.3">
      <c r="A665">
        <v>1000017318</v>
      </c>
      <c r="B665" s="1">
        <f>VLOOKUP(A665,[1]Sheet1!A:B,2,FALSE)</f>
        <v>40561</v>
      </c>
      <c r="C665" s="2">
        <v>0</v>
      </c>
      <c r="D665" s="2">
        <f>SUMIFS([1]Sheet1!D:D,[1]Sheet1!A:A,A665,[1]Sheet1!E:E,"Figurado")</f>
        <v>2221.1</v>
      </c>
      <c r="E665" s="2">
        <f>SUMIFS([1]Sheet1!D:D,[1]Sheet1!A:A,A665,[1]Sheet1!E:E,"Mallas")</f>
        <v>0</v>
      </c>
      <c r="F665" s="2">
        <f>SUMIFS([1]Sheet1!D:D,[1]Sheet1!A:A,A665,[1]Sheet1!E:E,"Materia Prima")</f>
        <v>0</v>
      </c>
      <c r="G665" s="2">
        <f t="shared" si="40"/>
        <v>0.85426923076923078</v>
      </c>
      <c r="H665">
        <f t="shared" si="41"/>
        <v>1</v>
      </c>
      <c r="I665" s="2">
        <f t="shared" si="42"/>
        <v>0.85426923076923078</v>
      </c>
      <c r="J665" s="2">
        <f t="shared" si="43"/>
        <v>0</v>
      </c>
    </row>
    <row r="666" spans="1:10" x14ac:dyDescent="0.3">
      <c r="A666">
        <v>1000017325</v>
      </c>
      <c r="B666" s="1">
        <f>VLOOKUP(A666,[1]Sheet1!A:B,2,FALSE)</f>
        <v>40561</v>
      </c>
      <c r="C666" s="2">
        <v>0</v>
      </c>
      <c r="D666" s="2">
        <f>SUMIFS([1]Sheet1!D:D,[1]Sheet1!A:A,A666,[1]Sheet1!E:E,"Figurado")</f>
        <v>3126</v>
      </c>
      <c r="E666" s="2">
        <f>SUMIFS([1]Sheet1!D:D,[1]Sheet1!A:A,A666,[1]Sheet1!E:E,"Mallas")</f>
        <v>0</v>
      </c>
      <c r="F666" s="2">
        <f>SUMIFS([1]Sheet1!D:D,[1]Sheet1!A:A,A666,[1]Sheet1!E:E,"Materia Prima")</f>
        <v>0</v>
      </c>
      <c r="G666" s="2">
        <f t="shared" si="40"/>
        <v>1.2023076923076923</v>
      </c>
      <c r="H666">
        <f t="shared" si="41"/>
        <v>1</v>
      </c>
      <c r="I666" s="2">
        <f t="shared" si="42"/>
        <v>1.2023076923076923</v>
      </c>
      <c r="J666" s="2">
        <f t="shared" si="43"/>
        <v>0</v>
      </c>
    </row>
    <row r="667" spans="1:10" x14ac:dyDescent="0.3">
      <c r="A667">
        <v>1000017552</v>
      </c>
      <c r="B667" s="1">
        <f>VLOOKUP(A667,[1]Sheet1!A:B,2,FALSE)</f>
        <v>40569</v>
      </c>
      <c r="C667" s="2">
        <v>0</v>
      </c>
      <c r="D667" s="2">
        <f>SUMIFS([1]Sheet1!D:D,[1]Sheet1!A:A,A667,[1]Sheet1!E:E,"Figurado")</f>
        <v>11108.2</v>
      </c>
      <c r="E667" s="2">
        <f>SUMIFS([1]Sheet1!D:D,[1]Sheet1!A:A,A667,[1]Sheet1!E:E,"Mallas")</f>
        <v>0</v>
      </c>
      <c r="F667" s="2">
        <f>SUMIFS([1]Sheet1!D:D,[1]Sheet1!A:A,A667,[1]Sheet1!E:E,"Materia Prima")</f>
        <v>0</v>
      </c>
      <c r="G667" s="2">
        <f t="shared" si="40"/>
        <v>4.2723846153846159</v>
      </c>
      <c r="H667">
        <f t="shared" si="41"/>
        <v>1</v>
      </c>
      <c r="I667" s="2">
        <f t="shared" si="42"/>
        <v>4.2723846153846159</v>
      </c>
      <c r="J667" s="2">
        <f t="shared" si="43"/>
        <v>0</v>
      </c>
    </row>
    <row r="668" spans="1:10" x14ac:dyDescent="0.3">
      <c r="A668">
        <v>1000017629</v>
      </c>
      <c r="B668" s="1">
        <f>VLOOKUP(A668,[1]Sheet1!A:B,2,FALSE)</f>
        <v>40571</v>
      </c>
      <c r="C668" s="2">
        <v>0</v>
      </c>
      <c r="D668" s="2">
        <f>SUMIFS([1]Sheet1!D:D,[1]Sheet1!A:A,A668,[1]Sheet1!E:E,"Figurado")</f>
        <v>2344.8000000000002</v>
      </c>
      <c r="E668" s="2">
        <f>SUMIFS([1]Sheet1!D:D,[1]Sheet1!A:A,A668,[1]Sheet1!E:E,"Mallas")</f>
        <v>0</v>
      </c>
      <c r="F668" s="2">
        <f>SUMIFS([1]Sheet1!D:D,[1]Sheet1!A:A,A668,[1]Sheet1!E:E,"Materia Prima")</f>
        <v>80.599999999999994</v>
      </c>
      <c r="G668" s="2">
        <f t="shared" si="40"/>
        <v>0.90184615384615396</v>
      </c>
      <c r="H668">
        <f t="shared" si="41"/>
        <v>2</v>
      </c>
      <c r="I668" s="2">
        <f t="shared" si="42"/>
        <v>0.90184615384615396</v>
      </c>
      <c r="J668" s="2">
        <f t="shared" si="43"/>
        <v>0</v>
      </c>
    </row>
    <row r="669" spans="1:10" x14ac:dyDescent="0.3">
      <c r="A669">
        <v>1000017630</v>
      </c>
      <c r="B669" s="1">
        <f>VLOOKUP(A669,[1]Sheet1!A:B,2,FALSE)</f>
        <v>40571</v>
      </c>
      <c r="C669" s="2">
        <v>0</v>
      </c>
      <c r="D669" s="2">
        <f>SUMIFS([1]Sheet1!D:D,[1]Sheet1!A:A,A669,[1]Sheet1!E:E,"Figurado")</f>
        <v>428.2</v>
      </c>
      <c r="E669" s="2">
        <f>SUMIFS([1]Sheet1!D:D,[1]Sheet1!A:A,A669,[1]Sheet1!E:E,"Mallas")</f>
        <v>0</v>
      </c>
      <c r="F669" s="2">
        <f>SUMIFS([1]Sheet1!D:D,[1]Sheet1!A:A,A669,[1]Sheet1!E:E,"Materia Prima")</f>
        <v>0</v>
      </c>
      <c r="G669" s="2">
        <f t="shared" si="40"/>
        <v>0.16469230769230769</v>
      </c>
      <c r="H669">
        <f t="shared" si="41"/>
        <v>1</v>
      </c>
      <c r="I669" s="2">
        <f t="shared" si="42"/>
        <v>0.16469230769230769</v>
      </c>
      <c r="J669" s="2">
        <f t="shared" si="43"/>
        <v>0</v>
      </c>
    </row>
    <row r="670" spans="1:10" x14ac:dyDescent="0.3">
      <c r="A670">
        <v>1000017631</v>
      </c>
      <c r="B670" s="1">
        <f>VLOOKUP(A670,[1]Sheet1!A:B,2,FALSE)</f>
        <v>40571</v>
      </c>
      <c r="C670" s="2">
        <v>0</v>
      </c>
      <c r="D670" s="2">
        <f>SUMIFS([1]Sheet1!D:D,[1]Sheet1!A:A,A670,[1]Sheet1!E:E,"Figurado")</f>
        <v>637.70000000000005</v>
      </c>
      <c r="E670" s="2">
        <f>SUMIFS([1]Sheet1!D:D,[1]Sheet1!A:A,A670,[1]Sheet1!E:E,"Mallas")</f>
        <v>0</v>
      </c>
      <c r="F670" s="2">
        <f>SUMIFS([1]Sheet1!D:D,[1]Sheet1!A:A,A670,[1]Sheet1!E:E,"Materia Prima")</f>
        <v>0</v>
      </c>
      <c r="G670" s="2">
        <f t="shared" si="40"/>
        <v>0.24526923076923079</v>
      </c>
      <c r="H670">
        <f t="shared" si="41"/>
        <v>1</v>
      </c>
      <c r="I670" s="2">
        <f t="shared" si="42"/>
        <v>0.24526923076923079</v>
      </c>
      <c r="J670" s="2">
        <f t="shared" si="43"/>
        <v>0</v>
      </c>
    </row>
    <row r="671" spans="1:10" x14ac:dyDescent="0.3">
      <c r="A671">
        <v>1000017632</v>
      </c>
      <c r="B671" s="1">
        <f>VLOOKUP(A671,[1]Sheet1!A:B,2,FALSE)</f>
        <v>40571</v>
      </c>
      <c r="C671" s="2">
        <v>0</v>
      </c>
      <c r="D671" s="2">
        <f>SUMIFS([1]Sheet1!D:D,[1]Sheet1!A:A,A671,[1]Sheet1!E:E,"Figurado")</f>
        <v>1008</v>
      </c>
      <c r="E671" s="2">
        <f>SUMIFS([1]Sheet1!D:D,[1]Sheet1!A:A,A671,[1]Sheet1!E:E,"Mallas")</f>
        <v>0</v>
      </c>
      <c r="F671" s="2">
        <f>SUMIFS([1]Sheet1!D:D,[1]Sheet1!A:A,A671,[1]Sheet1!E:E,"Materia Prima")</f>
        <v>0</v>
      </c>
      <c r="G671" s="2">
        <f t="shared" si="40"/>
        <v>0.38769230769230767</v>
      </c>
      <c r="H671">
        <f t="shared" si="41"/>
        <v>1</v>
      </c>
      <c r="I671" s="2">
        <f t="shared" si="42"/>
        <v>0.38769230769230767</v>
      </c>
      <c r="J671" s="2">
        <f t="shared" si="43"/>
        <v>0</v>
      </c>
    </row>
    <row r="672" spans="1:10" x14ac:dyDescent="0.3">
      <c r="A672">
        <v>1000017633</v>
      </c>
      <c r="B672" s="1">
        <f>VLOOKUP(A672,[1]Sheet1!A:B,2,FALSE)</f>
        <v>40571</v>
      </c>
      <c r="C672" s="2">
        <v>0</v>
      </c>
      <c r="D672" s="2">
        <f>SUMIFS([1]Sheet1!D:D,[1]Sheet1!A:A,A672,[1]Sheet1!E:E,"Figurado")</f>
        <v>2744.7</v>
      </c>
      <c r="E672" s="2">
        <f>SUMIFS([1]Sheet1!D:D,[1]Sheet1!A:A,A672,[1]Sheet1!E:E,"Mallas")</f>
        <v>0</v>
      </c>
      <c r="F672" s="2">
        <f>SUMIFS([1]Sheet1!D:D,[1]Sheet1!A:A,A672,[1]Sheet1!E:E,"Materia Prima")</f>
        <v>161.30000000000001</v>
      </c>
      <c r="G672" s="2">
        <f t="shared" si="40"/>
        <v>1.0556538461538461</v>
      </c>
      <c r="H672">
        <f t="shared" si="41"/>
        <v>2</v>
      </c>
      <c r="I672" s="2">
        <f t="shared" si="42"/>
        <v>1.0556538461538461</v>
      </c>
      <c r="J672" s="2">
        <f t="shared" si="43"/>
        <v>0</v>
      </c>
    </row>
    <row r="673" spans="1:10" x14ac:dyDescent="0.3">
      <c r="A673">
        <v>1000017643</v>
      </c>
      <c r="B673" s="1">
        <f>VLOOKUP(A673,[1]Sheet1!A:B,2,FALSE)</f>
        <v>40571</v>
      </c>
      <c r="C673" s="2">
        <v>0</v>
      </c>
      <c r="D673" s="2">
        <f>SUMIFS([1]Sheet1!D:D,[1]Sheet1!A:A,A673,[1]Sheet1!E:E,"Figurado")</f>
        <v>401.6</v>
      </c>
      <c r="E673" s="2">
        <f>SUMIFS([1]Sheet1!D:D,[1]Sheet1!A:A,A673,[1]Sheet1!E:E,"Mallas")</f>
        <v>0</v>
      </c>
      <c r="F673" s="2">
        <f>SUMIFS([1]Sheet1!D:D,[1]Sheet1!A:A,A673,[1]Sheet1!E:E,"Materia Prima")</f>
        <v>0</v>
      </c>
      <c r="G673" s="2">
        <f t="shared" si="40"/>
        <v>0.15446153846153848</v>
      </c>
      <c r="H673">
        <f t="shared" si="41"/>
        <v>1</v>
      </c>
      <c r="I673" s="2">
        <f t="shared" si="42"/>
        <v>0.15446153846153848</v>
      </c>
      <c r="J673" s="2">
        <f t="shared" si="43"/>
        <v>0</v>
      </c>
    </row>
    <row r="674" spans="1:10" x14ac:dyDescent="0.3">
      <c r="A674">
        <v>1000017644</v>
      </c>
      <c r="B674" s="1">
        <f>VLOOKUP(A674,[1]Sheet1!A:B,2,FALSE)</f>
        <v>40571</v>
      </c>
      <c r="C674" s="2">
        <v>0</v>
      </c>
      <c r="D674" s="2">
        <f>SUMIFS([1]Sheet1!D:D,[1]Sheet1!A:A,A674,[1]Sheet1!E:E,"Figurado")</f>
        <v>390.5</v>
      </c>
      <c r="E674" s="2">
        <f>SUMIFS([1]Sheet1!D:D,[1]Sheet1!A:A,A674,[1]Sheet1!E:E,"Mallas")</f>
        <v>0</v>
      </c>
      <c r="F674" s="2">
        <f>SUMIFS([1]Sheet1!D:D,[1]Sheet1!A:A,A674,[1]Sheet1!E:E,"Materia Prima")</f>
        <v>0</v>
      </c>
      <c r="G674" s="2">
        <f t="shared" si="40"/>
        <v>0.15019230769230768</v>
      </c>
      <c r="H674">
        <f t="shared" si="41"/>
        <v>1</v>
      </c>
      <c r="I674" s="2">
        <f t="shared" si="42"/>
        <v>0.15019230769230768</v>
      </c>
      <c r="J674" s="2">
        <f t="shared" si="43"/>
        <v>0</v>
      </c>
    </row>
    <row r="675" spans="1:10" x14ac:dyDescent="0.3">
      <c r="A675">
        <v>1000017645</v>
      </c>
      <c r="B675" s="1">
        <f>VLOOKUP(A675,[1]Sheet1!A:B,2,FALSE)</f>
        <v>40571</v>
      </c>
      <c r="C675" s="2">
        <v>0</v>
      </c>
      <c r="D675" s="2">
        <f>SUMIFS([1]Sheet1!D:D,[1]Sheet1!A:A,A675,[1]Sheet1!E:E,"Figurado")</f>
        <v>494.3</v>
      </c>
      <c r="E675" s="2">
        <f>SUMIFS([1]Sheet1!D:D,[1]Sheet1!A:A,A675,[1]Sheet1!E:E,"Mallas")</f>
        <v>0</v>
      </c>
      <c r="F675" s="2">
        <f>SUMIFS([1]Sheet1!D:D,[1]Sheet1!A:A,A675,[1]Sheet1!E:E,"Materia Prima")</f>
        <v>0</v>
      </c>
      <c r="G675" s="2">
        <f t="shared" si="40"/>
        <v>0.19011538461538463</v>
      </c>
      <c r="H675">
        <f t="shared" si="41"/>
        <v>1</v>
      </c>
      <c r="I675" s="2">
        <f t="shared" si="42"/>
        <v>0.19011538461538463</v>
      </c>
      <c r="J675" s="2">
        <f t="shared" si="43"/>
        <v>0</v>
      </c>
    </row>
    <row r="676" spans="1:10" x14ac:dyDescent="0.3">
      <c r="A676">
        <v>1000017659</v>
      </c>
      <c r="B676" s="1">
        <f>VLOOKUP(A676,[1]Sheet1!A:B,2,FALSE)</f>
        <v>40571</v>
      </c>
      <c r="C676" s="2">
        <v>0</v>
      </c>
      <c r="D676" s="2">
        <f>SUMIFS([1]Sheet1!D:D,[1]Sheet1!A:A,A676,[1]Sheet1!E:E,"Figurado")</f>
        <v>2672.7</v>
      </c>
      <c r="E676" s="2">
        <f>SUMIFS([1]Sheet1!D:D,[1]Sheet1!A:A,A676,[1]Sheet1!E:E,"Mallas")</f>
        <v>0</v>
      </c>
      <c r="F676" s="2">
        <f>SUMIFS([1]Sheet1!D:D,[1]Sheet1!A:A,A676,[1]Sheet1!E:E,"Materia Prima")</f>
        <v>936</v>
      </c>
      <c r="G676" s="2">
        <f t="shared" si="40"/>
        <v>1.0279615384615384</v>
      </c>
      <c r="H676">
        <f t="shared" si="41"/>
        <v>2</v>
      </c>
      <c r="I676" s="2">
        <f t="shared" si="42"/>
        <v>1.0279615384615384</v>
      </c>
      <c r="J676" s="2">
        <f t="shared" si="43"/>
        <v>0</v>
      </c>
    </row>
    <row r="677" spans="1:10" x14ac:dyDescent="0.3">
      <c r="A677">
        <v>1000017660</v>
      </c>
      <c r="B677" s="1">
        <f>VLOOKUP(A677,[1]Sheet1!A:B,2,FALSE)</f>
        <v>40571</v>
      </c>
      <c r="C677" s="2">
        <v>0</v>
      </c>
      <c r="D677" s="2">
        <f>SUMIFS([1]Sheet1!D:D,[1]Sheet1!A:A,A677,[1]Sheet1!E:E,"Figurado")</f>
        <v>342</v>
      </c>
      <c r="E677" s="2">
        <f>SUMIFS([1]Sheet1!D:D,[1]Sheet1!A:A,A677,[1]Sheet1!E:E,"Mallas")</f>
        <v>0</v>
      </c>
      <c r="F677" s="2">
        <f>SUMIFS([1]Sheet1!D:D,[1]Sheet1!A:A,A677,[1]Sheet1!E:E,"Materia Prima")</f>
        <v>367.2</v>
      </c>
      <c r="G677" s="2">
        <f t="shared" si="40"/>
        <v>0.13153846153846155</v>
      </c>
      <c r="H677">
        <f t="shared" si="41"/>
        <v>2</v>
      </c>
      <c r="I677" s="2">
        <f t="shared" si="42"/>
        <v>0.13153846153846155</v>
      </c>
      <c r="J677" s="2">
        <f t="shared" si="43"/>
        <v>0</v>
      </c>
    </row>
    <row r="678" spans="1:10" x14ac:dyDescent="0.3">
      <c r="A678">
        <v>1000017661</v>
      </c>
      <c r="B678" s="1">
        <f>VLOOKUP(A678,[1]Sheet1!A:B,2,FALSE)</f>
        <v>40571</v>
      </c>
      <c r="C678" s="2">
        <v>0</v>
      </c>
      <c r="D678" s="2">
        <f>SUMIFS([1]Sheet1!D:D,[1]Sheet1!A:A,A678,[1]Sheet1!E:E,"Figurado")</f>
        <v>1638.1</v>
      </c>
      <c r="E678" s="2">
        <f>SUMIFS([1]Sheet1!D:D,[1]Sheet1!A:A,A678,[1]Sheet1!E:E,"Mallas")</f>
        <v>0</v>
      </c>
      <c r="F678" s="2">
        <f>SUMIFS([1]Sheet1!D:D,[1]Sheet1!A:A,A678,[1]Sheet1!E:E,"Materia Prima")</f>
        <v>0</v>
      </c>
      <c r="G678" s="2">
        <f t="shared" si="40"/>
        <v>0.63003846153846155</v>
      </c>
      <c r="H678">
        <f t="shared" si="41"/>
        <v>1</v>
      </c>
      <c r="I678" s="2">
        <f t="shared" si="42"/>
        <v>0.63003846153846155</v>
      </c>
      <c r="J678" s="2">
        <f t="shared" si="43"/>
        <v>0</v>
      </c>
    </row>
    <row r="679" spans="1:10" x14ac:dyDescent="0.3">
      <c r="A679">
        <v>1000017668</v>
      </c>
      <c r="B679" s="1">
        <f>VLOOKUP(A679,[1]Sheet1!A:B,2,FALSE)</f>
        <v>40572</v>
      </c>
      <c r="C679" s="2">
        <v>0</v>
      </c>
      <c r="D679" s="2">
        <f>SUMIFS([1]Sheet1!D:D,[1]Sheet1!A:A,A679,[1]Sheet1!E:E,"Figurado")</f>
        <v>0</v>
      </c>
      <c r="E679" s="2">
        <f>SUMIFS([1]Sheet1!D:D,[1]Sheet1!A:A,A679,[1]Sheet1!E:E,"Mallas")</f>
        <v>0</v>
      </c>
      <c r="F679" s="2">
        <f>SUMIFS([1]Sheet1!D:D,[1]Sheet1!A:A,A679,[1]Sheet1!E:E,"Materia Prima")</f>
        <v>1344</v>
      </c>
      <c r="G679" s="2">
        <f t="shared" si="40"/>
        <v>0</v>
      </c>
      <c r="H679">
        <f t="shared" si="41"/>
        <v>1</v>
      </c>
      <c r="I679" s="2">
        <f t="shared" si="42"/>
        <v>0</v>
      </c>
      <c r="J679" s="2">
        <f t="shared" si="43"/>
        <v>0</v>
      </c>
    </row>
    <row r="680" spans="1:10" x14ac:dyDescent="0.3">
      <c r="A680">
        <v>1000017669</v>
      </c>
      <c r="B680" s="1">
        <f>VLOOKUP(A680,[1]Sheet1!A:B,2,FALSE)</f>
        <v>40572</v>
      </c>
      <c r="C680" s="2">
        <v>0</v>
      </c>
      <c r="D680" s="2">
        <f>SUMIFS([1]Sheet1!D:D,[1]Sheet1!A:A,A680,[1]Sheet1!E:E,"Figurado")</f>
        <v>0</v>
      </c>
      <c r="E680" s="2">
        <f>SUMIFS([1]Sheet1!D:D,[1]Sheet1!A:A,A680,[1]Sheet1!E:E,"Mallas")</f>
        <v>0</v>
      </c>
      <c r="F680" s="2">
        <f>SUMIFS([1]Sheet1!D:D,[1]Sheet1!A:A,A680,[1]Sheet1!E:E,"Materia Prima")</f>
        <v>1386</v>
      </c>
      <c r="G680" s="2">
        <f t="shared" si="40"/>
        <v>0</v>
      </c>
      <c r="H680">
        <f t="shared" si="41"/>
        <v>1</v>
      </c>
      <c r="I680" s="2">
        <f t="shared" si="42"/>
        <v>0</v>
      </c>
      <c r="J680" s="2">
        <f t="shared" si="43"/>
        <v>0</v>
      </c>
    </row>
    <row r="681" spans="1:10" x14ac:dyDescent="0.3">
      <c r="A681">
        <v>1000017670</v>
      </c>
      <c r="B681" s="1">
        <f>VLOOKUP(A681,[1]Sheet1!A:B,2,FALSE)</f>
        <v>40572</v>
      </c>
      <c r="C681" s="2">
        <v>0</v>
      </c>
      <c r="D681" s="2">
        <f>SUMIFS([1]Sheet1!D:D,[1]Sheet1!A:A,A681,[1]Sheet1!E:E,"Figurado")</f>
        <v>0</v>
      </c>
      <c r="E681" s="2">
        <f>SUMIFS([1]Sheet1!D:D,[1]Sheet1!A:A,A681,[1]Sheet1!E:E,"Mallas")</f>
        <v>0</v>
      </c>
      <c r="F681" s="2">
        <f>SUMIFS([1]Sheet1!D:D,[1]Sheet1!A:A,A681,[1]Sheet1!E:E,"Materia Prima")</f>
        <v>792</v>
      </c>
      <c r="G681" s="2">
        <f t="shared" si="40"/>
        <v>0</v>
      </c>
      <c r="H681">
        <f t="shared" si="41"/>
        <v>1</v>
      </c>
      <c r="I681" s="2">
        <f t="shared" si="42"/>
        <v>0</v>
      </c>
      <c r="J681" s="2">
        <f t="shared" si="43"/>
        <v>0</v>
      </c>
    </row>
    <row r="682" spans="1:10" x14ac:dyDescent="0.3">
      <c r="A682">
        <v>1000017685</v>
      </c>
      <c r="B682" s="1">
        <f>VLOOKUP(A682,[1]Sheet1!A:B,2,FALSE)</f>
        <v>40572</v>
      </c>
      <c r="C682" s="2">
        <v>0</v>
      </c>
      <c r="D682" s="2">
        <f>SUMIFS([1]Sheet1!D:D,[1]Sheet1!A:A,A682,[1]Sheet1!E:E,"Figurado")</f>
        <v>6501.6</v>
      </c>
      <c r="E682" s="2">
        <f>SUMIFS([1]Sheet1!D:D,[1]Sheet1!A:A,A682,[1]Sheet1!E:E,"Mallas")</f>
        <v>0</v>
      </c>
      <c r="F682" s="2">
        <f>SUMIFS([1]Sheet1!D:D,[1]Sheet1!A:A,A682,[1]Sheet1!E:E,"Materia Prima")</f>
        <v>0</v>
      </c>
      <c r="G682" s="2">
        <f t="shared" si="40"/>
        <v>2.5006153846153847</v>
      </c>
      <c r="H682">
        <f t="shared" si="41"/>
        <v>1</v>
      </c>
      <c r="I682" s="2">
        <f t="shared" si="42"/>
        <v>2.5006153846153847</v>
      </c>
      <c r="J682" s="2">
        <f t="shared" si="43"/>
        <v>0</v>
      </c>
    </row>
    <row r="683" spans="1:10" x14ac:dyDescent="0.3">
      <c r="A683">
        <v>1000017686</v>
      </c>
      <c r="B683" s="1">
        <f>VLOOKUP(A683,[1]Sheet1!A:B,2,FALSE)</f>
        <v>40572</v>
      </c>
      <c r="C683" s="2">
        <v>0</v>
      </c>
      <c r="D683" s="2">
        <f>SUMIFS([1]Sheet1!D:D,[1]Sheet1!A:A,A683,[1]Sheet1!E:E,"Figurado")</f>
        <v>7660.1</v>
      </c>
      <c r="E683" s="2">
        <f>SUMIFS([1]Sheet1!D:D,[1]Sheet1!A:A,A683,[1]Sheet1!E:E,"Mallas")</f>
        <v>0</v>
      </c>
      <c r="F683" s="2">
        <f>SUMIFS([1]Sheet1!D:D,[1]Sheet1!A:A,A683,[1]Sheet1!E:E,"Materia Prima")</f>
        <v>0</v>
      </c>
      <c r="G683" s="2">
        <f t="shared" si="40"/>
        <v>2.946192307692308</v>
      </c>
      <c r="H683">
        <f t="shared" si="41"/>
        <v>1</v>
      </c>
      <c r="I683" s="2">
        <f t="shared" si="42"/>
        <v>2.946192307692308</v>
      </c>
      <c r="J683" s="2">
        <f t="shared" si="43"/>
        <v>0</v>
      </c>
    </row>
    <row r="684" spans="1:10" x14ac:dyDescent="0.3">
      <c r="A684">
        <v>1000017687</v>
      </c>
      <c r="B684" s="1">
        <f>VLOOKUP(A684,[1]Sheet1!A:B,2,FALSE)</f>
        <v>40572</v>
      </c>
      <c r="C684" s="2">
        <v>0</v>
      </c>
      <c r="D684" s="2">
        <f>SUMIFS([1]Sheet1!D:D,[1]Sheet1!A:A,A684,[1]Sheet1!E:E,"Figurado")</f>
        <v>896.90000000000009</v>
      </c>
      <c r="E684" s="2">
        <f>SUMIFS([1]Sheet1!D:D,[1]Sheet1!A:A,A684,[1]Sheet1!E:E,"Mallas")</f>
        <v>0</v>
      </c>
      <c r="F684" s="2">
        <f>SUMIFS([1]Sheet1!D:D,[1]Sheet1!A:A,A684,[1]Sheet1!E:E,"Materia Prima")</f>
        <v>2016</v>
      </c>
      <c r="G684" s="2">
        <f t="shared" si="40"/>
        <v>0.34496153846153849</v>
      </c>
      <c r="H684">
        <f t="shared" si="41"/>
        <v>2</v>
      </c>
      <c r="I684" s="2">
        <f t="shared" si="42"/>
        <v>0.34496153846153849</v>
      </c>
      <c r="J684" s="2">
        <f t="shared" si="43"/>
        <v>0</v>
      </c>
    </row>
    <row r="685" spans="1:10" x14ac:dyDescent="0.3">
      <c r="A685">
        <v>1000017688</v>
      </c>
      <c r="B685" s="1">
        <f>VLOOKUP(A685,[1]Sheet1!A:B,2,FALSE)</f>
        <v>40572</v>
      </c>
      <c r="C685" s="2">
        <v>0</v>
      </c>
      <c r="D685" s="2">
        <f>SUMIFS([1]Sheet1!D:D,[1]Sheet1!A:A,A685,[1]Sheet1!E:E,"Figurado")</f>
        <v>1703.3999999999999</v>
      </c>
      <c r="E685" s="2">
        <f>SUMIFS([1]Sheet1!D:D,[1]Sheet1!A:A,A685,[1]Sheet1!E:E,"Mallas")</f>
        <v>0</v>
      </c>
      <c r="F685" s="2">
        <f>SUMIFS([1]Sheet1!D:D,[1]Sheet1!A:A,A685,[1]Sheet1!E:E,"Materia Prima")</f>
        <v>961.4</v>
      </c>
      <c r="G685" s="2">
        <f t="shared" si="40"/>
        <v>0.65515384615384609</v>
      </c>
      <c r="H685">
        <f t="shared" si="41"/>
        <v>2</v>
      </c>
      <c r="I685" s="2">
        <f t="shared" si="42"/>
        <v>0.65515384615384609</v>
      </c>
      <c r="J685" s="2">
        <f t="shared" si="43"/>
        <v>0</v>
      </c>
    </row>
    <row r="686" spans="1:10" x14ac:dyDescent="0.3">
      <c r="A686">
        <v>1000017689</v>
      </c>
      <c r="B686" s="1">
        <f>VLOOKUP(A686,[1]Sheet1!A:B,2,FALSE)</f>
        <v>40572</v>
      </c>
      <c r="C686" s="2">
        <v>0</v>
      </c>
      <c r="D686" s="2">
        <f>SUMIFS([1]Sheet1!D:D,[1]Sheet1!A:A,A686,[1]Sheet1!E:E,"Figurado")</f>
        <v>418.4</v>
      </c>
      <c r="E686" s="2">
        <f>SUMIFS([1]Sheet1!D:D,[1]Sheet1!A:A,A686,[1]Sheet1!E:E,"Mallas")</f>
        <v>0</v>
      </c>
      <c r="F686" s="2">
        <f>SUMIFS([1]Sheet1!D:D,[1]Sheet1!A:A,A686,[1]Sheet1!E:E,"Materia Prima")</f>
        <v>0</v>
      </c>
      <c r="G686" s="2">
        <f t="shared" si="40"/>
        <v>0.16092307692307692</v>
      </c>
      <c r="H686">
        <f t="shared" si="41"/>
        <v>1</v>
      </c>
      <c r="I686" s="2">
        <f t="shared" si="42"/>
        <v>0.16092307692307692</v>
      </c>
      <c r="J686" s="2">
        <f t="shared" si="43"/>
        <v>0</v>
      </c>
    </row>
    <row r="687" spans="1:10" x14ac:dyDescent="0.3">
      <c r="A687">
        <v>1000017690</v>
      </c>
      <c r="B687" s="1">
        <f>VLOOKUP(A687,[1]Sheet1!A:B,2,FALSE)</f>
        <v>40572</v>
      </c>
      <c r="C687" s="2">
        <v>0</v>
      </c>
      <c r="D687" s="2">
        <f>SUMIFS([1]Sheet1!D:D,[1]Sheet1!A:A,A687,[1]Sheet1!E:E,"Figurado")</f>
        <v>2327.5</v>
      </c>
      <c r="E687" s="2">
        <f>SUMIFS([1]Sheet1!D:D,[1]Sheet1!A:A,A687,[1]Sheet1!E:E,"Mallas")</f>
        <v>0</v>
      </c>
      <c r="F687" s="2">
        <f>SUMIFS([1]Sheet1!D:D,[1]Sheet1!A:A,A687,[1]Sheet1!E:E,"Materia Prima")</f>
        <v>57.6</v>
      </c>
      <c r="G687" s="2">
        <f t="shared" si="40"/>
        <v>0.89519230769230773</v>
      </c>
      <c r="H687">
        <f t="shared" si="41"/>
        <v>2</v>
      </c>
      <c r="I687" s="2">
        <f t="shared" si="42"/>
        <v>0.89519230769230773</v>
      </c>
      <c r="J687" s="2">
        <f t="shared" si="43"/>
        <v>0</v>
      </c>
    </row>
    <row r="688" spans="1:10" x14ac:dyDescent="0.3">
      <c r="A688">
        <v>1000017691</v>
      </c>
      <c r="B688" s="1">
        <f>VLOOKUP(A688,[1]Sheet1!A:B,2,FALSE)</f>
        <v>40572</v>
      </c>
      <c r="C688" s="2">
        <v>0</v>
      </c>
      <c r="D688" s="2">
        <f>SUMIFS([1]Sheet1!D:D,[1]Sheet1!A:A,A688,[1]Sheet1!E:E,"Figurado")</f>
        <v>434.3</v>
      </c>
      <c r="E688" s="2">
        <f>SUMIFS([1]Sheet1!D:D,[1]Sheet1!A:A,A688,[1]Sheet1!E:E,"Mallas")</f>
        <v>0</v>
      </c>
      <c r="F688" s="2">
        <f>SUMIFS([1]Sheet1!D:D,[1]Sheet1!A:A,A688,[1]Sheet1!E:E,"Materia Prima")</f>
        <v>0</v>
      </c>
      <c r="G688" s="2">
        <f t="shared" si="40"/>
        <v>0.16703846153846155</v>
      </c>
      <c r="H688">
        <f t="shared" si="41"/>
        <v>1</v>
      </c>
      <c r="I688" s="2">
        <f t="shared" si="42"/>
        <v>0.16703846153846155</v>
      </c>
      <c r="J688" s="2">
        <f t="shared" si="43"/>
        <v>0</v>
      </c>
    </row>
    <row r="689" spans="1:10" x14ac:dyDescent="0.3">
      <c r="A689">
        <v>1000017692</v>
      </c>
      <c r="B689" s="1">
        <f>VLOOKUP(A689,[1]Sheet1!A:B,2,FALSE)</f>
        <v>40572</v>
      </c>
      <c r="C689" s="2">
        <v>0</v>
      </c>
      <c r="D689" s="2">
        <f>SUMIFS([1]Sheet1!D:D,[1]Sheet1!A:A,A689,[1]Sheet1!E:E,"Figurado")</f>
        <v>13.4</v>
      </c>
      <c r="E689" s="2">
        <f>SUMIFS([1]Sheet1!D:D,[1]Sheet1!A:A,A689,[1]Sheet1!E:E,"Mallas")</f>
        <v>0</v>
      </c>
      <c r="F689" s="2">
        <f>SUMIFS([1]Sheet1!D:D,[1]Sheet1!A:A,A689,[1]Sheet1!E:E,"Materia Prima")</f>
        <v>0</v>
      </c>
      <c r="G689" s="2">
        <f t="shared" si="40"/>
        <v>5.1538461538461538E-3</v>
      </c>
      <c r="H689">
        <f t="shared" si="41"/>
        <v>1</v>
      </c>
      <c r="I689" s="2">
        <f t="shared" si="42"/>
        <v>5.1538461538461538E-3</v>
      </c>
      <c r="J689" s="2">
        <f t="shared" si="43"/>
        <v>0</v>
      </c>
    </row>
    <row r="690" spans="1:10" x14ac:dyDescent="0.3">
      <c r="A690">
        <v>1000017693</v>
      </c>
      <c r="B690" s="1">
        <f>VLOOKUP(A690,[1]Sheet1!A:B,2,FALSE)</f>
        <v>40572</v>
      </c>
      <c r="C690" s="2">
        <v>0</v>
      </c>
      <c r="D690" s="2">
        <f>SUMIFS([1]Sheet1!D:D,[1]Sheet1!A:A,A690,[1]Sheet1!E:E,"Figurado")</f>
        <v>106</v>
      </c>
      <c r="E690" s="2">
        <f>SUMIFS([1]Sheet1!D:D,[1]Sheet1!A:A,A690,[1]Sheet1!E:E,"Mallas")</f>
        <v>0</v>
      </c>
      <c r="F690" s="2">
        <f>SUMIFS([1]Sheet1!D:D,[1]Sheet1!A:A,A690,[1]Sheet1!E:E,"Materia Prima")</f>
        <v>0</v>
      </c>
      <c r="G690" s="2">
        <f t="shared" si="40"/>
        <v>4.0769230769230766E-2</v>
      </c>
      <c r="H690">
        <f t="shared" si="41"/>
        <v>1</v>
      </c>
      <c r="I690" s="2">
        <f t="shared" si="42"/>
        <v>4.0769230769230766E-2</v>
      </c>
      <c r="J690" s="2">
        <f t="shared" si="43"/>
        <v>0</v>
      </c>
    </row>
    <row r="691" spans="1:10" x14ac:dyDescent="0.3">
      <c r="A691">
        <v>1000017705</v>
      </c>
      <c r="B691" s="1">
        <f>VLOOKUP(A691,[1]Sheet1!A:B,2,FALSE)</f>
        <v>40573</v>
      </c>
      <c r="C691" s="2">
        <v>0</v>
      </c>
      <c r="D691" s="2">
        <f>SUMIFS([1]Sheet1!D:D,[1]Sheet1!A:A,A691,[1]Sheet1!E:E,"Figurado")</f>
        <v>0</v>
      </c>
      <c r="E691" s="2">
        <f>SUMIFS([1]Sheet1!D:D,[1]Sheet1!A:A,A691,[1]Sheet1!E:E,"Mallas")</f>
        <v>0</v>
      </c>
      <c r="F691" s="2">
        <f>SUMIFS([1]Sheet1!D:D,[1]Sheet1!A:A,A691,[1]Sheet1!E:E,"Materia Prima")</f>
        <v>36907.199999999997</v>
      </c>
      <c r="G691" s="2">
        <f t="shared" si="40"/>
        <v>0</v>
      </c>
      <c r="H691">
        <f t="shared" si="41"/>
        <v>1</v>
      </c>
      <c r="I691" s="2">
        <f t="shared" si="42"/>
        <v>0</v>
      </c>
      <c r="J691" s="2">
        <f t="shared" si="43"/>
        <v>0</v>
      </c>
    </row>
    <row r="692" spans="1:10" x14ac:dyDescent="0.3">
      <c r="A692">
        <v>1000017709</v>
      </c>
      <c r="B692" s="1">
        <f>VLOOKUP(A692,[1]Sheet1!A:B,2,FALSE)</f>
        <v>40575</v>
      </c>
      <c r="C692" s="2">
        <v>0</v>
      </c>
      <c r="D692" s="2">
        <f>SUMIFS([1]Sheet1!D:D,[1]Sheet1!A:A,A692,[1]Sheet1!E:E,"Figurado")</f>
        <v>9889.5</v>
      </c>
      <c r="E692" s="2">
        <f>SUMIFS([1]Sheet1!D:D,[1]Sheet1!A:A,A692,[1]Sheet1!E:E,"Mallas")</f>
        <v>0</v>
      </c>
      <c r="F692" s="2">
        <f>SUMIFS([1]Sheet1!D:D,[1]Sheet1!A:A,A692,[1]Sheet1!E:E,"Materia Prima")</f>
        <v>0</v>
      </c>
      <c r="G692" s="2">
        <f t="shared" si="40"/>
        <v>3.8036538461538463</v>
      </c>
      <c r="H692">
        <f t="shared" si="41"/>
        <v>1</v>
      </c>
      <c r="I692" s="2">
        <f t="shared" si="42"/>
        <v>3.8036538461538463</v>
      </c>
      <c r="J692" s="2">
        <f t="shared" si="43"/>
        <v>0</v>
      </c>
    </row>
    <row r="693" spans="1:10" x14ac:dyDescent="0.3">
      <c r="A693">
        <v>1000017710</v>
      </c>
      <c r="B693" s="1">
        <f>VLOOKUP(A693,[1]Sheet1!A:B,2,FALSE)</f>
        <v>40575</v>
      </c>
      <c r="C693" s="2">
        <v>0</v>
      </c>
      <c r="D693" s="2">
        <f>SUMIFS([1]Sheet1!D:D,[1]Sheet1!A:A,A693,[1]Sheet1!E:E,"Figurado")</f>
        <v>1751.5</v>
      </c>
      <c r="E693" s="2">
        <f>SUMIFS([1]Sheet1!D:D,[1]Sheet1!A:A,A693,[1]Sheet1!E:E,"Mallas")</f>
        <v>0</v>
      </c>
      <c r="F693" s="2">
        <f>SUMIFS([1]Sheet1!D:D,[1]Sheet1!A:A,A693,[1]Sheet1!E:E,"Materia Prima")</f>
        <v>0</v>
      </c>
      <c r="G693" s="2">
        <f t="shared" si="40"/>
        <v>0.67365384615384616</v>
      </c>
      <c r="H693">
        <f t="shared" si="41"/>
        <v>1</v>
      </c>
      <c r="I693" s="2">
        <f t="shared" si="42"/>
        <v>0.67365384615384616</v>
      </c>
      <c r="J693" s="2">
        <f t="shared" si="43"/>
        <v>0</v>
      </c>
    </row>
    <row r="694" spans="1:10" x14ac:dyDescent="0.3">
      <c r="A694">
        <v>1000017711</v>
      </c>
      <c r="B694" s="1">
        <f>VLOOKUP(A694,[1]Sheet1!A:B,2,FALSE)</f>
        <v>40575</v>
      </c>
      <c r="C694" s="2">
        <v>0</v>
      </c>
      <c r="D694" s="2">
        <f>SUMIFS([1]Sheet1!D:D,[1]Sheet1!A:A,A694,[1]Sheet1!E:E,"Figurado")</f>
        <v>0</v>
      </c>
      <c r="E694" s="2">
        <f>SUMIFS([1]Sheet1!D:D,[1]Sheet1!A:A,A694,[1]Sheet1!E:E,"Mallas")</f>
        <v>0</v>
      </c>
      <c r="F694" s="2">
        <f>SUMIFS([1]Sheet1!D:D,[1]Sheet1!A:A,A694,[1]Sheet1!E:E,"Materia Prima")</f>
        <v>6858</v>
      </c>
      <c r="G694" s="2">
        <f t="shared" si="40"/>
        <v>0</v>
      </c>
      <c r="H694">
        <f t="shared" si="41"/>
        <v>1</v>
      </c>
      <c r="I694" s="2">
        <f t="shared" si="42"/>
        <v>0</v>
      </c>
      <c r="J694" s="2">
        <f t="shared" si="43"/>
        <v>0</v>
      </c>
    </row>
    <row r="695" spans="1:10" x14ac:dyDescent="0.3">
      <c r="A695">
        <v>1000017712</v>
      </c>
      <c r="B695" s="1">
        <f>VLOOKUP(A695,[1]Sheet1!A:B,2,FALSE)</f>
        <v>40575</v>
      </c>
      <c r="C695" s="2">
        <v>0</v>
      </c>
      <c r="D695" s="2">
        <f>SUMIFS([1]Sheet1!D:D,[1]Sheet1!A:A,A695,[1]Sheet1!E:E,"Figurado")</f>
        <v>143.69999999999999</v>
      </c>
      <c r="E695" s="2">
        <f>SUMIFS([1]Sheet1!D:D,[1]Sheet1!A:A,A695,[1]Sheet1!E:E,"Mallas")</f>
        <v>0</v>
      </c>
      <c r="F695" s="2">
        <f>SUMIFS([1]Sheet1!D:D,[1]Sheet1!A:A,A695,[1]Sheet1!E:E,"Materia Prima")</f>
        <v>0</v>
      </c>
      <c r="G695" s="2">
        <f t="shared" si="40"/>
        <v>5.5269230769230765E-2</v>
      </c>
      <c r="H695">
        <f t="shared" si="41"/>
        <v>1</v>
      </c>
      <c r="I695" s="2">
        <f t="shared" si="42"/>
        <v>5.5269230769230765E-2</v>
      </c>
      <c r="J695" s="2">
        <f t="shared" si="43"/>
        <v>0</v>
      </c>
    </row>
    <row r="696" spans="1:10" x14ac:dyDescent="0.3">
      <c r="A696">
        <v>1000017713</v>
      </c>
      <c r="B696" s="1">
        <f>VLOOKUP(A696,[1]Sheet1!A:B,2,FALSE)</f>
        <v>40575</v>
      </c>
      <c r="C696" s="2">
        <v>0</v>
      </c>
      <c r="D696" s="2">
        <f>SUMIFS([1]Sheet1!D:D,[1]Sheet1!A:A,A696,[1]Sheet1!E:E,"Figurado")</f>
        <v>192.4</v>
      </c>
      <c r="E696" s="2">
        <f>SUMIFS([1]Sheet1!D:D,[1]Sheet1!A:A,A696,[1]Sheet1!E:E,"Mallas")</f>
        <v>0</v>
      </c>
      <c r="F696" s="2">
        <f>SUMIFS([1]Sheet1!D:D,[1]Sheet1!A:A,A696,[1]Sheet1!E:E,"Materia Prima")</f>
        <v>0</v>
      </c>
      <c r="G696" s="2">
        <f t="shared" si="40"/>
        <v>7.3999999999999996E-2</v>
      </c>
      <c r="H696">
        <f t="shared" si="41"/>
        <v>1</v>
      </c>
      <c r="I696" s="2">
        <f t="shared" si="42"/>
        <v>7.3999999999999996E-2</v>
      </c>
      <c r="J696" s="2">
        <f t="shared" si="43"/>
        <v>0</v>
      </c>
    </row>
    <row r="697" spans="1:10" x14ac:dyDescent="0.3">
      <c r="A697">
        <v>1000017714</v>
      </c>
      <c r="B697" s="1">
        <f>VLOOKUP(A697,[1]Sheet1!A:B,2,FALSE)</f>
        <v>40575</v>
      </c>
      <c r="C697" s="2">
        <v>0</v>
      </c>
      <c r="D697" s="2">
        <f>SUMIFS([1]Sheet1!D:D,[1]Sheet1!A:A,A697,[1]Sheet1!E:E,"Figurado")</f>
        <v>6477.2999999999993</v>
      </c>
      <c r="E697" s="2">
        <f>SUMIFS([1]Sheet1!D:D,[1]Sheet1!A:A,A697,[1]Sheet1!E:E,"Mallas")</f>
        <v>0</v>
      </c>
      <c r="F697" s="2">
        <f>SUMIFS([1]Sheet1!D:D,[1]Sheet1!A:A,A697,[1]Sheet1!E:E,"Materia Prima")</f>
        <v>0</v>
      </c>
      <c r="G697" s="2">
        <f t="shared" si="40"/>
        <v>2.4912692307692303</v>
      </c>
      <c r="H697">
        <f t="shared" si="41"/>
        <v>1</v>
      </c>
      <c r="I697" s="2">
        <f t="shared" si="42"/>
        <v>2.4912692307692303</v>
      </c>
      <c r="J697" s="2">
        <f t="shared" si="43"/>
        <v>0</v>
      </c>
    </row>
    <row r="698" spans="1:10" x14ac:dyDescent="0.3">
      <c r="A698">
        <v>1000017715</v>
      </c>
      <c r="B698" s="1">
        <f>VLOOKUP(A698,[1]Sheet1!A:B,2,FALSE)</f>
        <v>40575</v>
      </c>
      <c r="C698" s="2">
        <v>0</v>
      </c>
      <c r="D698" s="2">
        <f>SUMIFS([1]Sheet1!D:D,[1]Sheet1!A:A,A698,[1]Sheet1!E:E,"Figurado")</f>
        <v>1612.3</v>
      </c>
      <c r="E698" s="2">
        <f>SUMIFS([1]Sheet1!D:D,[1]Sheet1!A:A,A698,[1]Sheet1!E:E,"Mallas")</f>
        <v>0</v>
      </c>
      <c r="F698" s="2">
        <f>SUMIFS([1]Sheet1!D:D,[1]Sheet1!A:A,A698,[1]Sheet1!E:E,"Materia Prima")</f>
        <v>0</v>
      </c>
      <c r="G698" s="2">
        <f t="shared" si="40"/>
        <v>0.62011538461538462</v>
      </c>
      <c r="H698">
        <f t="shared" si="41"/>
        <v>1</v>
      </c>
      <c r="I698" s="2">
        <f t="shared" si="42"/>
        <v>0.62011538461538462</v>
      </c>
      <c r="J698" s="2">
        <f t="shared" si="43"/>
        <v>0</v>
      </c>
    </row>
    <row r="699" spans="1:10" x14ac:dyDescent="0.3">
      <c r="A699">
        <v>1000017716</v>
      </c>
      <c r="B699" s="1">
        <f>VLOOKUP(A699,[1]Sheet1!A:B,2,FALSE)</f>
        <v>40575</v>
      </c>
      <c r="C699" s="2">
        <v>0</v>
      </c>
      <c r="D699" s="2">
        <f>SUMIFS([1]Sheet1!D:D,[1]Sheet1!A:A,A699,[1]Sheet1!E:E,"Figurado")</f>
        <v>192.1</v>
      </c>
      <c r="E699" s="2">
        <f>SUMIFS([1]Sheet1!D:D,[1]Sheet1!A:A,A699,[1]Sheet1!E:E,"Mallas")</f>
        <v>0</v>
      </c>
      <c r="F699" s="2">
        <f>SUMIFS([1]Sheet1!D:D,[1]Sheet1!A:A,A699,[1]Sheet1!E:E,"Materia Prima")</f>
        <v>0</v>
      </c>
      <c r="G699" s="2">
        <f t="shared" si="40"/>
        <v>7.3884615384615382E-2</v>
      </c>
      <c r="H699">
        <f t="shared" si="41"/>
        <v>1</v>
      </c>
      <c r="I699" s="2">
        <f t="shared" si="42"/>
        <v>7.3884615384615382E-2</v>
      </c>
      <c r="J699" s="2">
        <f t="shared" si="43"/>
        <v>0</v>
      </c>
    </row>
    <row r="700" spans="1:10" x14ac:dyDescent="0.3">
      <c r="A700">
        <v>1000017717</v>
      </c>
      <c r="B700" s="1">
        <f>VLOOKUP(A700,[1]Sheet1!A:B,2,FALSE)</f>
        <v>40575</v>
      </c>
      <c r="C700" s="2">
        <v>0</v>
      </c>
      <c r="D700" s="2">
        <f>SUMIFS([1]Sheet1!D:D,[1]Sheet1!A:A,A700,[1]Sheet1!E:E,"Figurado")</f>
        <v>8906.9</v>
      </c>
      <c r="E700" s="2">
        <f>SUMIFS([1]Sheet1!D:D,[1]Sheet1!A:A,A700,[1]Sheet1!E:E,"Mallas")</f>
        <v>0</v>
      </c>
      <c r="F700" s="2">
        <f>SUMIFS([1]Sheet1!D:D,[1]Sheet1!A:A,A700,[1]Sheet1!E:E,"Materia Prima")</f>
        <v>0</v>
      </c>
      <c r="G700" s="2">
        <f t="shared" si="40"/>
        <v>3.425730769230769</v>
      </c>
      <c r="H700">
        <f t="shared" si="41"/>
        <v>1</v>
      </c>
      <c r="I700" s="2">
        <f t="shared" si="42"/>
        <v>3.425730769230769</v>
      </c>
      <c r="J700" s="2">
        <f t="shared" si="43"/>
        <v>0</v>
      </c>
    </row>
    <row r="701" spans="1:10" x14ac:dyDescent="0.3">
      <c r="A701">
        <v>1000017718</v>
      </c>
      <c r="B701" s="1">
        <f>VLOOKUP(A701,[1]Sheet1!A:B,2,FALSE)</f>
        <v>40575</v>
      </c>
      <c r="C701" s="2">
        <v>0</v>
      </c>
      <c r="D701" s="2">
        <f>SUMIFS([1]Sheet1!D:D,[1]Sheet1!A:A,A701,[1]Sheet1!E:E,"Figurado")</f>
        <v>3633.6</v>
      </c>
      <c r="E701" s="2">
        <f>SUMIFS([1]Sheet1!D:D,[1]Sheet1!A:A,A701,[1]Sheet1!E:E,"Mallas")</f>
        <v>0</v>
      </c>
      <c r="F701" s="2">
        <f>SUMIFS([1]Sheet1!D:D,[1]Sheet1!A:A,A701,[1]Sheet1!E:E,"Materia Prima")</f>
        <v>0</v>
      </c>
      <c r="G701" s="2">
        <f t="shared" si="40"/>
        <v>1.3975384615384614</v>
      </c>
      <c r="H701">
        <f t="shared" si="41"/>
        <v>1</v>
      </c>
      <c r="I701" s="2">
        <f t="shared" si="42"/>
        <v>1.3975384615384614</v>
      </c>
      <c r="J701" s="2">
        <f t="shared" si="43"/>
        <v>0</v>
      </c>
    </row>
    <row r="702" spans="1:10" x14ac:dyDescent="0.3">
      <c r="A702">
        <v>1000017719</v>
      </c>
      <c r="B702" s="1">
        <f>VLOOKUP(A702,[1]Sheet1!A:B,2,FALSE)</f>
        <v>40575</v>
      </c>
      <c r="C702" s="2">
        <v>0</v>
      </c>
      <c r="D702" s="2">
        <f>SUMIFS([1]Sheet1!D:D,[1]Sheet1!A:A,A702,[1]Sheet1!E:E,"Figurado")</f>
        <v>1093.7</v>
      </c>
      <c r="E702" s="2">
        <f>SUMIFS([1]Sheet1!D:D,[1]Sheet1!A:A,A702,[1]Sheet1!E:E,"Mallas")</f>
        <v>0</v>
      </c>
      <c r="F702" s="2">
        <f>SUMIFS([1]Sheet1!D:D,[1]Sheet1!A:A,A702,[1]Sheet1!E:E,"Materia Prima")</f>
        <v>40.299999999999997</v>
      </c>
      <c r="G702" s="2">
        <f t="shared" si="40"/>
        <v>0.42065384615384616</v>
      </c>
      <c r="H702">
        <f t="shared" si="41"/>
        <v>2</v>
      </c>
      <c r="I702" s="2">
        <f t="shared" si="42"/>
        <v>0.42065384615384616</v>
      </c>
      <c r="J702" s="2">
        <f t="shared" si="43"/>
        <v>0</v>
      </c>
    </row>
    <row r="703" spans="1:10" x14ac:dyDescent="0.3">
      <c r="A703">
        <v>1000017720</v>
      </c>
      <c r="B703" s="1">
        <f>VLOOKUP(A703,[1]Sheet1!A:B,2,FALSE)</f>
        <v>40575</v>
      </c>
      <c r="C703" s="2">
        <v>0</v>
      </c>
      <c r="D703" s="2">
        <f>SUMIFS([1]Sheet1!D:D,[1]Sheet1!A:A,A703,[1]Sheet1!E:E,"Figurado")</f>
        <v>2539.5</v>
      </c>
      <c r="E703" s="2">
        <f>SUMIFS([1]Sheet1!D:D,[1]Sheet1!A:A,A703,[1]Sheet1!E:E,"Mallas")</f>
        <v>0</v>
      </c>
      <c r="F703" s="2">
        <f>SUMIFS([1]Sheet1!D:D,[1]Sheet1!A:A,A703,[1]Sheet1!E:E,"Materia Prima")</f>
        <v>0</v>
      </c>
      <c r="G703" s="2">
        <f t="shared" si="40"/>
        <v>0.97673076923076918</v>
      </c>
      <c r="H703">
        <f t="shared" si="41"/>
        <v>1</v>
      </c>
      <c r="I703" s="2">
        <f t="shared" si="42"/>
        <v>0.97673076923076918</v>
      </c>
      <c r="J703" s="2">
        <f t="shared" si="43"/>
        <v>0</v>
      </c>
    </row>
    <row r="704" spans="1:10" x14ac:dyDescent="0.3">
      <c r="A704">
        <v>1000017721</v>
      </c>
      <c r="B704" s="1">
        <f>VLOOKUP(A704,[1]Sheet1!A:B,2,FALSE)</f>
        <v>40575</v>
      </c>
      <c r="C704" s="2">
        <v>0</v>
      </c>
      <c r="D704" s="2">
        <f>SUMIFS([1]Sheet1!D:D,[1]Sheet1!A:A,A704,[1]Sheet1!E:E,"Figurado")</f>
        <v>2857.3</v>
      </c>
      <c r="E704" s="2">
        <f>SUMIFS([1]Sheet1!D:D,[1]Sheet1!A:A,A704,[1]Sheet1!E:E,"Mallas")</f>
        <v>0</v>
      </c>
      <c r="F704" s="2">
        <f>SUMIFS([1]Sheet1!D:D,[1]Sheet1!A:A,A704,[1]Sheet1!E:E,"Materia Prima")</f>
        <v>0</v>
      </c>
      <c r="G704" s="2">
        <f t="shared" si="40"/>
        <v>1.0989615384615385</v>
      </c>
      <c r="H704">
        <f t="shared" si="41"/>
        <v>1</v>
      </c>
      <c r="I704" s="2">
        <f t="shared" si="42"/>
        <v>1.0989615384615385</v>
      </c>
      <c r="J704" s="2">
        <f t="shared" si="43"/>
        <v>0</v>
      </c>
    </row>
    <row r="705" spans="1:10" x14ac:dyDescent="0.3">
      <c r="A705">
        <v>1000017722</v>
      </c>
      <c r="B705" s="1">
        <f>VLOOKUP(A705,[1]Sheet1!A:B,2,FALSE)</f>
        <v>40575</v>
      </c>
      <c r="C705" s="2">
        <v>0</v>
      </c>
      <c r="D705" s="2">
        <f>SUMIFS([1]Sheet1!D:D,[1]Sheet1!A:A,A705,[1]Sheet1!E:E,"Figurado")</f>
        <v>0</v>
      </c>
      <c r="E705" s="2">
        <f>SUMIFS([1]Sheet1!D:D,[1]Sheet1!A:A,A705,[1]Sheet1!E:E,"Mallas")</f>
        <v>0</v>
      </c>
      <c r="F705" s="2">
        <f>SUMIFS([1]Sheet1!D:D,[1]Sheet1!A:A,A705,[1]Sheet1!E:E,"Materia Prima")</f>
        <v>673.4</v>
      </c>
      <c r="G705" s="2">
        <f t="shared" si="40"/>
        <v>0</v>
      </c>
      <c r="H705">
        <f t="shared" si="41"/>
        <v>1</v>
      </c>
      <c r="I705" s="2">
        <f t="shared" si="42"/>
        <v>0</v>
      </c>
      <c r="J705" s="2">
        <f t="shared" si="43"/>
        <v>0</v>
      </c>
    </row>
    <row r="706" spans="1:10" x14ac:dyDescent="0.3">
      <c r="A706">
        <v>1000017732</v>
      </c>
      <c r="B706" s="1">
        <f>VLOOKUP(A706,[1]Sheet1!A:B,2,FALSE)</f>
        <v>40575</v>
      </c>
      <c r="C706" s="2">
        <v>0</v>
      </c>
      <c r="D706" s="2">
        <f>SUMIFS([1]Sheet1!D:D,[1]Sheet1!A:A,A706,[1]Sheet1!E:E,"Figurado")</f>
        <v>31.4</v>
      </c>
      <c r="E706" s="2">
        <f>SUMIFS([1]Sheet1!D:D,[1]Sheet1!A:A,A706,[1]Sheet1!E:E,"Mallas")</f>
        <v>0</v>
      </c>
      <c r="F706" s="2">
        <f>SUMIFS([1]Sheet1!D:D,[1]Sheet1!A:A,A706,[1]Sheet1!E:E,"Materia Prima")</f>
        <v>0</v>
      </c>
      <c r="G706" s="2">
        <f t="shared" si="40"/>
        <v>1.2076923076923077E-2</v>
      </c>
      <c r="H706">
        <f t="shared" si="41"/>
        <v>1</v>
      </c>
      <c r="I706" s="2">
        <f t="shared" si="42"/>
        <v>1.2076923076923077E-2</v>
      </c>
      <c r="J706" s="2">
        <f t="shared" si="43"/>
        <v>0</v>
      </c>
    </row>
    <row r="707" spans="1:10" x14ac:dyDescent="0.3">
      <c r="A707">
        <v>1000017733</v>
      </c>
      <c r="B707" s="1">
        <f>VLOOKUP(A707,[1]Sheet1!A:B,2,FALSE)</f>
        <v>40575</v>
      </c>
      <c r="C707" s="2">
        <v>0</v>
      </c>
      <c r="D707" s="2">
        <f>SUMIFS([1]Sheet1!D:D,[1]Sheet1!A:A,A707,[1]Sheet1!E:E,"Figurado")</f>
        <v>5595.1</v>
      </c>
      <c r="E707" s="2">
        <f>SUMIFS([1]Sheet1!D:D,[1]Sheet1!A:A,A707,[1]Sheet1!E:E,"Mallas")</f>
        <v>0</v>
      </c>
      <c r="F707" s="2">
        <f>SUMIFS([1]Sheet1!D:D,[1]Sheet1!A:A,A707,[1]Sheet1!E:E,"Materia Prima")</f>
        <v>243.4</v>
      </c>
      <c r="G707" s="2">
        <f t="shared" ref="G707:G770" si="44">(D707/2600)+(E707/800)</f>
        <v>2.1519615384615385</v>
      </c>
      <c r="H707">
        <f t="shared" ref="H707:H770" si="45">(IF(D707&gt;0,1,0) + IF(E707&gt;0,1,0) + IF(F707&gt;0,1,0))</f>
        <v>2</v>
      </c>
      <c r="I707" s="2">
        <f t="shared" ref="I707:I770" si="46">D707/2600</f>
        <v>2.1519615384615385</v>
      </c>
      <c r="J707" s="2">
        <f t="shared" ref="J707:J770" si="47">E707/800</f>
        <v>0</v>
      </c>
    </row>
    <row r="708" spans="1:10" x14ac:dyDescent="0.3">
      <c r="A708">
        <v>1000017734</v>
      </c>
      <c r="B708" s="1">
        <f>VLOOKUP(A708,[1]Sheet1!A:B,2,FALSE)</f>
        <v>40575</v>
      </c>
      <c r="C708" s="2">
        <v>0</v>
      </c>
      <c r="D708" s="2">
        <f>SUMIFS([1]Sheet1!D:D,[1]Sheet1!A:A,A708,[1]Sheet1!E:E,"Figurado")</f>
        <v>835.4</v>
      </c>
      <c r="E708" s="2">
        <f>SUMIFS([1]Sheet1!D:D,[1]Sheet1!A:A,A708,[1]Sheet1!E:E,"Mallas")</f>
        <v>0</v>
      </c>
      <c r="F708" s="2">
        <f>SUMIFS([1]Sheet1!D:D,[1]Sheet1!A:A,A708,[1]Sheet1!E:E,"Materia Prima")</f>
        <v>1674</v>
      </c>
      <c r="G708" s="2">
        <f t="shared" si="44"/>
        <v>0.32130769230769229</v>
      </c>
      <c r="H708">
        <f t="shared" si="45"/>
        <v>2</v>
      </c>
      <c r="I708" s="2">
        <f t="shared" si="46"/>
        <v>0.32130769230769229</v>
      </c>
      <c r="J708" s="2">
        <f t="shared" si="47"/>
        <v>0</v>
      </c>
    </row>
    <row r="709" spans="1:10" x14ac:dyDescent="0.3">
      <c r="A709">
        <v>1000017735</v>
      </c>
      <c r="B709" s="1">
        <f>VLOOKUP(A709,[1]Sheet1!A:B,2,FALSE)</f>
        <v>40575</v>
      </c>
      <c r="C709" s="2">
        <v>0</v>
      </c>
      <c r="D709" s="2">
        <f>SUMIFS([1]Sheet1!D:D,[1]Sheet1!A:A,A709,[1]Sheet1!E:E,"Figurado")</f>
        <v>2971.3</v>
      </c>
      <c r="E709" s="2">
        <f>SUMIFS([1]Sheet1!D:D,[1]Sheet1!A:A,A709,[1]Sheet1!E:E,"Mallas")</f>
        <v>0</v>
      </c>
      <c r="F709" s="2">
        <f>SUMIFS([1]Sheet1!D:D,[1]Sheet1!A:A,A709,[1]Sheet1!E:E,"Materia Prima")</f>
        <v>144</v>
      </c>
      <c r="G709" s="2">
        <f t="shared" si="44"/>
        <v>1.1428076923076924</v>
      </c>
      <c r="H709">
        <f t="shared" si="45"/>
        <v>2</v>
      </c>
      <c r="I709" s="2">
        <f t="shared" si="46"/>
        <v>1.1428076923076924</v>
      </c>
      <c r="J709" s="2">
        <f t="shared" si="47"/>
        <v>0</v>
      </c>
    </row>
    <row r="710" spans="1:10" x14ac:dyDescent="0.3">
      <c r="A710">
        <v>1000017736</v>
      </c>
      <c r="B710" s="1">
        <f>VLOOKUP(A710,[1]Sheet1!A:B,2,FALSE)</f>
        <v>40575</v>
      </c>
      <c r="C710" s="2">
        <v>0</v>
      </c>
      <c r="D710" s="2">
        <f>SUMIFS([1]Sheet1!D:D,[1]Sheet1!A:A,A710,[1]Sheet1!E:E,"Figurado")</f>
        <v>2540.4</v>
      </c>
      <c r="E710" s="2">
        <f>SUMIFS([1]Sheet1!D:D,[1]Sheet1!A:A,A710,[1]Sheet1!E:E,"Mallas")</f>
        <v>0</v>
      </c>
      <c r="F710" s="2">
        <f>SUMIFS([1]Sheet1!D:D,[1]Sheet1!A:A,A710,[1]Sheet1!E:E,"Materia Prima")</f>
        <v>72</v>
      </c>
      <c r="G710" s="2">
        <f t="shared" si="44"/>
        <v>0.97707692307692307</v>
      </c>
      <c r="H710">
        <f t="shared" si="45"/>
        <v>2</v>
      </c>
      <c r="I710" s="2">
        <f t="shared" si="46"/>
        <v>0.97707692307692307</v>
      </c>
      <c r="J710" s="2">
        <f t="shared" si="47"/>
        <v>0</v>
      </c>
    </row>
    <row r="711" spans="1:10" x14ac:dyDescent="0.3">
      <c r="A711">
        <v>1000017737</v>
      </c>
      <c r="B711" s="1">
        <f>VLOOKUP(A711,[1]Sheet1!A:B,2,FALSE)</f>
        <v>40575</v>
      </c>
      <c r="C711" s="2">
        <v>0</v>
      </c>
      <c r="D711" s="2">
        <f>SUMIFS([1]Sheet1!D:D,[1]Sheet1!A:A,A711,[1]Sheet1!E:E,"Figurado")</f>
        <v>2993</v>
      </c>
      <c r="E711" s="2">
        <f>SUMIFS([1]Sheet1!D:D,[1]Sheet1!A:A,A711,[1]Sheet1!E:E,"Mallas")</f>
        <v>0</v>
      </c>
      <c r="F711" s="2">
        <f>SUMIFS([1]Sheet1!D:D,[1]Sheet1!A:A,A711,[1]Sheet1!E:E,"Materia Prima")</f>
        <v>144</v>
      </c>
      <c r="G711" s="2">
        <f t="shared" si="44"/>
        <v>1.1511538461538462</v>
      </c>
      <c r="H711">
        <f t="shared" si="45"/>
        <v>2</v>
      </c>
      <c r="I711" s="2">
        <f t="shared" si="46"/>
        <v>1.1511538461538462</v>
      </c>
      <c r="J711" s="2">
        <f t="shared" si="47"/>
        <v>0</v>
      </c>
    </row>
    <row r="712" spans="1:10" x14ac:dyDescent="0.3">
      <c r="A712">
        <v>1000017738</v>
      </c>
      <c r="B712" s="1">
        <f>VLOOKUP(A712,[1]Sheet1!A:B,2,FALSE)</f>
        <v>40575</v>
      </c>
      <c r="C712" s="2">
        <v>0</v>
      </c>
      <c r="D712" s="2">
        <f>SUMIFS([1]Sheet1!D:D,[1]Sheet1!A:A,A712,[1]Sheet1!E:E,"Figurado")</f>
        <v>0</v>
      </c>
      <c r="E712" s="2">
        <f>SUMIFS([1]Sheet1!D:D,[1]Sheet1!A:A,A712,[1]Sheet1!E:E,"Mallas")</f>
        <v>0</v>
      </c>
      <c r="F712" s="2">
        <f>SUMIFS([1]Sheet1!D:D,[1]Sheet1!A:A,A712,[1]Sheet1!E:E,"Materia Prima")</f>
        <v>891</v>
      </c>
      <c r="G712" s="2">
        <f t="shared" si="44"/>
        <v>0</v>
      </c>
      <c r="H712">
        <f t="shared" si="45"/>
        <v>1</v>
      </c>
      <c r="I712" s="2">
        <f t="shared" si="46"/>
        <v>0</v>
      </c>
      <c r="J712" s="2">
        <f t="shared" si="47"/>
        <v>0</v>
      </c>
    </row>
    <row r="713" spans="1:10" x14ac:dyDescent="0.3">
      <c r="A713">
        <v>1000017741</v>
      </c>
      <c r="B713" s="1">
        <f>VLOOKUP(A713,[1]Sheet1!A:B,2,FALSE)</f>
        <v>40575</v>
      </c>
      <c r="C713" s="2">
        <v>0</v>
      </c>
      <c r="D713" s="2">
        <f>SUMIFS([1]Sheet1!D:D,[1]Sheet1!A:A,A713,[1]Sheet1!E:E,"Figurado")</f>
        <v>101.1</v>
      </c>
      <c r="E713" s="2">
        <f>SUMIFS([1]Sheet1!D:D,[1]Sheet1!A:A,A713,[1]Sheet1!E:E,"Mallas")</f>
        <v>0</v>
      </c>
      <c r="F713" s="2">
        <f>SUMIFS([1]Sheet1!D:D,[1]Sheet1!A:A,A713,[1]Sheet1!E:E,"Materia Prima")</f>
        <v>0</v>
      </c>
      <c r="G713" s="2">
        <f t="shared" si="44"/>
        <v>3.8884615384615386E-2</v>
      </c>
      <c r="H713">
        <f t="shared" si="45"/>
        <v>1</v>
      </c>
      <c r="I713" s="2">
        <f t="shared" si="46"/>
        <v>3.8884615384615386E-2</v>
      </c>
      <c r="J713" s="2">
        <f t="shared" si="47"/>
        <v>0</v>
      </c>
    </row>
    <row r="714" spans="1:10" x14ac:dyDescent="0.3">
      <c r="A714">
        <v>1000017742</v>
      </c>
      <c r="B714" s="1">
        <f>VLOOKUP(A714,[1]Sheet1!A:B,2,FALSE)</f>
        <v>40575</v>
      </c>
      <c r="C714" s="2">
        <v>0</v>
      </c>
      <c r="D714" s="2">
        <f>SUMIFS([1]Sheet1!D:D,[1]Sheet1!A:A,A714,[1]Sheet1!E:E,"Figurado")</f>
        <v>1557.7</v>
      </c>
      <c r="E714" s="2">
        <f>SUMIFS([1]Sheet1!D:D,[1]Sheet1!A:A,A714,[1]Sheet1!E:E,"Mallas")</f>
        <v>0</v>
      </c>
      <c r="F714" s="2">
        <f>SUMIFS([1]Sheet1!D:D,[1]Sheet1!A:A,A714,[1]Sheet1!E:E,"Materia Prima")</f>
        <v>120</v>
      </c>
      <c r="G714" s="2">
        <f t="shared" si="44"/>
        <v>0.59911538461538461</v>
      </c>
      <c r="H714">
        <f t="shared" si="45"/>
        <v>2</v>
      </c>
      <c r="I714" s="2">
        <f t="shared" si="46"/>
        <v>0.59911538461538461</v>
      </c>
      <c r="J714" s="2">
        <f t="shared" si="47"/>
        <v>0</v>
      </c>
    </row>
    <row r="715" spans="1:10" x14ac:dyDescent="0.3">
      <c r="A715">
        <v>1000017744</v>
      </c>
      <c r="B715" s="1">
        <f>VLOOKUP(A715,[1]Sheet1!A:B,2,FALSE)</f>
        <v>40575</v>
      </c>
      <c r="C715" s="2">
        <v>0</v>
      </c>
      <c r="D715" s="2">
        <f>SUMIFS([1]Sheet1!D:D,[1]Sheet1!A:A,A715,[1]Sheet1!E:E,"Figurado")</f>
        <v>2914.9999999999995</v>
      </c>
      <c r="E715" s="2">
        <f>SUMIFS([1]Sheet1!D:D,[1]Sheet1!A:A,A715,[1]Sheet1!E:E,"Mallas")</f>
        <v>0</v>
      </c>
      <c r="F715" s="2">
        <f>SUMIFS([1]Sheet1!D:D,[1]Sheet1!A:A,A715,[1]Sheet1!E:E,"Materia Prima")</f>
        <v>0</v>
      </c>
      <c r="G715" s="2">
        <f t="shared" si="44"/>
        <v>1.1211538461538459</v>
      </c>
      <c r="H715">
        <f t="shared" si="45"/>
        <v>1</v>
      </c>
      <c r="I715" s="2">
        <f t="shared" si="46"/>
        <v>1.1211538461538459</v>
      </c>
      <c r="J715" s="2">
        <f t="shared" si="47"/>
        <v>0</v>
      </c>
    </row>
    <row r="716" spans="1:10" x14ac:dyDescent="0.3">
      <c r="A716">
        <v>1000017745</v>
      </c>
      <c r="B716" s="1">
        <f>VLOOKUP(A716,[1]Sheet1!A:B,2,FALSE)</f>
        <v>40575</v>
      </c>
      <c r="C716" s="2">
        <v>0</v>
      </c>
      <c r="D716" s="2">
        <f>SUMIFS([1]Sheet1!D:D,[1]Sheet1!A:A,A716,[1]Sheet1!E:E,"Figurado")</f>
        <v>744.19999999999993</v>
      </c>
      <c r="E716" s="2">
        <f>SUMIFS([1]Sheet1!D:D,[1]Sheet1!A:A,A716,[1]Sheet1!E:E,"Mallas")</f>
        <v>0</v>
      </c>
      <c r="F716" s="2">
        <f>SUMIFS([1]Sheet1!D:D,[1]Sheet1!A:A,A716,[1]Sheet1!E:E,"Materia Prima")</f>
        <v>120</v>
      </c>
      <c r="G716" s="2">
        <f t="shared" si="44"/>
        <v>0.28623076923076918</v>
      </c>
      <c r="H716">
        <f t="shared" si="45"/>
        <v>2</v>
      </c>
      <c r="I716" s="2">
        <f t="shared" si="46"/>
        <v>0.28623076923076918</v>
      </c>
      <c r="J716" s="2">
        <f t="shared" si="47"/>
        <v>0</v>
      </c>
    </row>
    <row r="717" spans="1:10" x14ac:dyDescent="0.3">
      <c r="A717">
        <v>1000017746</v>
      </c>
      <c r="B717" s="1">
        <f>VLOOKUP(A717,[1]Sheet1!A:B,2,FALSE)</f>
        <v>40575</v>
      </c>
      <c r="C717" s="2">
        <v>0</v>
      </c>
      <c r="D717" s="2">
        <f>SUMIFS([1]Sheet1!D:D,[1]Sheet1!A:A,A717,[1]Sheet1!E:E,"Figurado")</f>
        <v>0</v>
      </c>
      <c r="E717" s="2">
        <f>SUMIFS([1]Sheet1!D:D,[1]Sheet1!A:A,A717,[1]Sheet1!E:E,"Mallas")</f>
        <v>0</v>
      </c>
      <c r="F717" s="2">
        <f>SUMIFS([1]Sheet1!D:D,[1]Sheet1!A:A,A717,[1]Sheet1!E:E,"Materia Prima")</f>
        <v>1018.8</v>
      </c>
      <c r="G717" s="2">
        <f t="shared" si="44"/>
        <v>0</v>
      </c>
      <c r="H717">
        <f t="shared" si="45"/>
        <v>1</v>
      </c>
      <c r="I717" s="2">
        <f t="shared" si="46"/>
        <v>0</v>
      </c>
      <c r="J717" s="2">
        <f t="shared" si="47"/>
        <v>0</v>
      </c>
    </row>
    <row r="718" spans="1:10" x14ac:dyDescent="0.3">
      <c r="A718">
        <v>1000017748</v>
      </c>
      <c r="B718" s="1">
        <f>VLOOKUP(A718,[1]Sheet1!A:B,2,FALSE)</f>
        <v>40576</v>
      </c>
      <c r="C718" s="2">
        <v>0</v>
      </c>
      <c r="D718" s="2">
        <f>SUMIFS([1]Sheet1!D:D,[1]Sheet1!A:A,A718,[1]Sheet1!E:E,"Figurado")</f>
        <v>5314.1</v>
      </c>
      <c r="E718" s="2">
        <f>SUMIFS([1]Sheet1!D:D,[1]Sheet1!A:A,A718,[1]Sheet1!E:E,"Mallas")</f>
        <v>0</v>
      </c>
      <c r="F718" s="2">
        <f>SUMIFS([1]Sheet1!D:D,[1]Sheet1!A:A,A718,[1]Sheet1!E:E,"Materia Prima")</f>
        <v>0</v>
      </c>
      <c r="G718" s="2">
        <f t="shared" si="44"/>
        <v>2.0438846153846155</v>
      </c>
      <c r="H718">
        <f t="shared" si="45"/>
        <v>1</v>
      </c>
      <c r="I718" s="2">
        <f t="shared" si="46"/>
        <v>2.0438846153846155</v>
      </c>
      <c r="J718" s="2">
        <f t="shared" si="47"/>
        <v>0</v>
      </c>
    </row>
    <row r="719" spans="1:10" x14ac:dyDescent="0.3">
      <c r="A719">
        <v>1000017749</v>
      </c>
      <c r="B719" s="1">
        <f>VLOOKUP(A719,[1]Sheet1!A:B,2,FALSE)</f>
        <v>40576</v>
      </c>
      <c r="C719" s="2">
        <v>0</v>
      </c>
      <c r="D719" s="2">
        <f>SUMIFS([1]Sheet1!D:D,[1]Sheet1!A:A,A719,[1]Sheet1!E:E,"Figurado")</f>
        <v>257.5</v>
      </c>
      <c r="E719" s="2">
        <f>SUMIFS([1]Sheet1!D:D,[1]Sheet1!A:A,A719,[1]Sheet1!E:E,"Mallas")</f>
        <v>0</v>
      </c>
      <c r="F719" s="2">
        <f>SUMIFS([1]Sheet1!D:D,[1]Sheet1!A:A,A719,[1]Sheet1!E:E,"Materia Prima")</f>
        <v>0</v>
      </c>
      <c r="G719" s="2">
        <f t="shared" si="44"/>
        <v>9.9038461538461534E-2</v>
      </c>
      <c r="H719">
        <f t="shared" si="45"/>
        <v>1</v>
      </c>
      <c r="I719" s="2">
        <f t="shared" si="46"/>
        <v>9.9038461538461534E-2</v>
      </c>
      <c r="J719" s="2">
        <f t="shared" si="47"/>
        <v>0</v>
      </c>
    </row>
    <row r="720" spans="1:10" x14ac:dyDescent="0.3">
      <c r="A720">
        <v>1000017750</v>
      </c>
      <c r="B720" s="1">
        <f>VLOOKUP(A720,[1]Sheet1!A:B,2,FALSE)</f>
        <v>40576</v>
      </c>
      <c r="C720" s="2">
        <v>0</v>
      </c>
      <c r="D720" s="2">
        <f>SUMIFS([1]Sheet1!D:D,[1]Sheet1!A:A,A720,[1]Sheet1!E:E,"Figurado")</f>
        <v>0</v>
      </c>
      <c r="E720" s="2">
        <f>SUMIFS([1]Sheet1!D:D,[1]Sheet1!A:A,A720,[1]Sheet1!E:E,"Mallas")</f>
        <v>0</v>
      </c>
      <c r="F720" s="2">
        <f>SUMIFS([1]Sheet1!D:D,[1]Sheet1!A:A,A720,[1]Sheet1!E:E,"Materia Prima")</f>
        <v>67.2</v>
      </c>
      <c r="G720" s="2">
        <f t="shared" si="44"/>
        <v>0</v>
      </c>
      <c r="H720">
        <f t="shared" si="45"/>
        <v>1</v>
      </c>
      <c r="I720" s="2">
        <f t="shared" si="46"/>
        <v>0</v>
      </c>
      <c r="J720" s="2">
        <f t="shared" si="47"/>
        <v>0</v>
      </c>
    </row>
    <row r="721" spans="1:10" x14ac:dyDescent="0.3">
      <c r="A721">
        <v>1000017751</v>
      </c>
      <c r="B721" s="1">
        <f>VLOOKUP(A721,[1]Sheet1!A:B,2,FALSE)</f>
        <v>40576</v>
      </c>
      <c r="C721" s="2">
        <v>0</v>
      </c>
      <c r="D721" s="2">
        <f>SUMIFS([1]Sheet1!D:D,[1]Sheet1!A:A,A721,[1]Sheet1!E:E,"Figurado")</f>
        <v>179.2</v>
      </c>
      <c r="E721" s="2">
        <f>SUMIFS([1]Sheet1!D:D,[1]Sheet1!A:A,A721,[1]Sheet1!E:E,"Mallas")</f>
        <v>0</v>
      </c>
      <c r="F721" s="2">
        <f>SUMIFS([1]Sheet1!D:D,[1]Sheet1!A:A,A721,[1]Sheet1!E:E,"Materia Prima")</f>
        <v>0</v>
      </c>
      <c r="G721" s="2">
        <f t="shared" si="44"/>
        <v>6.892307692307692E-2</v>
      </c>
      <c r="H721">
        <f t="shared" si="45"/>
        <v>1</v>
      </c>
      <c r="I721" s="2">
        <f t="shared" si="46"/>
        <v>6.892307692307692E-2</v>
      </c>
      <c r="J721" s="2">
        <f t="shared" si="47"/>
        <v>0</v>
      </c>
    </row>
    <row r="722" spans="1:10" x14ac:dyDescent="0.3">
      <c r="A722">
        <v>1000017752</v>
      </c>
      <c r="B722" s="1">
        <f>VLOOKUP(A722,[1]Sheet1!A:B,2,FALSE)</f>
        <v>40576</v>
      </c>
      <c r="C722" s="2">
        <v>0</v>
      </c>
      <c r="D722" s="2">
        <f>SUMIFS([1]Sheet1!D:D,[1]Sheet1!A:A,A722,[1]Sheet1!E:E,"Figurado")</f>
        <v>1735.6</v>
      </c>
      <c r="E722" s="2">
        <f>SUMIFS([1]Sheet1!D:D,[1]Sheet1!A:A,A722,[1]Sheet1!E:E,"Mallas")</f>
        <v>0</v>
      </c>
      <c r="F722" s="2">
        <f>SUMIFS([1]Sheet1!D:D,[1]Sheet1!A:A,A722,[1]Sheet1!E:E,"Materia Prima")</f>
        <v>0</v>
      </c>
      <c r="G722" s="2">
        <f t="shared" si="44"/>
        <v>0.66753846153846153</v>
      </c>
      <c r="H722">
        <f t="shared" si="45"/>
        <v>1</v>
      </c>
      <c r="I722" s="2">
        <f t="shared" si="46"/>
        <v>0.66753846153846153</v>
      </c>
      <c r="J722" s="2">
        <f t="shared" si="47"/>
        <v>0</v>
      </c>
    </row>
    <row r="723" spans="1:10" x14ac:dyDescent="0.3">
      <c r="A723">
        <v>1000017753</v>
      </c>
      <c r="B723" s="1">
        <f>VLOOKUP(A723,[1]Sheet1!A:B,2,FALSE)</f>
        <v>40576</v>
      </c>
      <c r="C723" s="2">
        <v>0</v>
      </c>
      <c r="D723" s="2">
        <f>SUMIFS([1]Sheet1!D:D,[1]Sheet1!A:A,A723,[1]Sheet1!E:E,"Figurado")</f>
        <v>1511</v>
      </c>
      <c r="E723" s="2">
        <f>SUMIFS([1]Sheet1!D:D,[1]Sheet1!A:A,A723,[1]Sheet1!E:E,"Mallas")</f>
        <v>0</v>
      </c>
      <c r="F723" s="2">
        <f>SUMIFS([1]Sheet1!D:D,[1]Sheet1!A:A,A723,[1]Sheet1!E:E,"Materia Prima")</f>
        <v>0</v>
      </c>
      <c r="G723" s="2">
        <f t="shared" si="44"/>
        <v>0.58115384615384613</v>
      </c>
      <c r="H723">
        <f t="shared" si="45"/>
        <v>1</v>
      </c>
      <c r="I723" s="2">
        <f t="shared" si="46"/>
        <v>0.58115384615384613</v>
      </c>
      <c r="J723" s="2">
        <f t="shared" si="47"/>
        <v>0</v>
      </c>
    </row>
    <row r="724" spans="1:10" x14ac:dyDescent="0.3">
      <c r="A724">
        <v>1000017767</v>
      </c>
      <c r="B724" s="1">
        <f>VLOOKUP(A724,[1]Sheet1!A:B,2,FALSE)</f>
        <v>40576</v>
      </c>
      <c r="C724" s="2">
        <v>0</v>
      </c>
      <c r="D724" s="2">
        <f>SUMIFS([1]Sheet1!D:D,[1]Sheet1!A:A,A724,[1]Sheet1!E:E,"Figurado")</f>
        <v>3914.4</v>
      </c>
      <c r="E724" s="2">
        <f>SUMIFS([1]Sheet1!D:D,[1]Sheet1!A:A,A724,[1]Sheet1!E:E,"Mallas")</f>
        <v>0</v>
      </c>
      <c r="F724" s="2">
        <f>SUMIFS([1]Sheet1!D:D,[1]Sheet1!A:A,A724,[1]Sheet1!E:E,"Materia Prima")</f>
        <v>0</v>
      </c>
      <c r="G724" s="2">
        <f t="shared" si="44"/>
        <v>1.5055384615384615</v>
      </c>
      <c r="H724">
        <f t="shared" si="45"/>
        <v>1</v>
      </c>
      <c r="I724" s="2">
        <f t="shared" si="46"/>
        <v>1.5055384615384615</v>
      </c>
      <c r="J724" s="2">
        <f t="shared" si="47"/>
        <v>0</v>
      </c>
    </row>
    <row r="725" spans="1:10" x14ac:dyDescent="0.3">
      <c r="A725">
        <v>1000017768</v>
      </c>
      <c r="B725" s="1">
        <f>VLOOKUP(A725,[1]Sheet1!A:B,2,FALSE)</f>
        <v>40576</v>
      </c>
      <c r="C725" s="2">
        <v>0</v>
      </c>
      <c r="D725" s="2">
        <f>SUMIFS([1]Sheet1!D:D,[1]Sheet1!A:A,A725,[1]Sheet1!E:E,"Figurado")</f>
        <v>3790</v>
      </c>
      <c r="E725" s="2">
        <f>SUMIFS([1]Sheet1!D:D,[1]Sheet1!A:A,A725,[1]Sheet1!E:E,"Mallas")</f>
        <v>0</v>
      </c>
      <c r="F725" s="2">
        <f>SUMIFS([1]Sheet1!D:D,[1]Sheet1!A:A,A725,[1]Sheet1!E:E,"Materia Prima")</f>
        <v>998.4</v>
      </c>
      <c r="G725" s="2">
        <f t="shared" si="44"/>
        <v>1.4576923076923076</v>
      </c>
      <c r="H725">
        <f t="shared" si="45"/>
        <v>2</v>
      </c>
      <c r="I725" s="2">
        <f t="shared" si="46"/>
        <v>1.4576923076923076</v>
      </c>
      <c r="J725" s="2">
        <f t="shared" si="47"/>
        <v>0</v>
      </c>
    </row>
    <row r="726" spans="1:10" x14ac:dyDescent="0.3">
      <c r="A726">
        <v>1000017771</v>
      </c>
      <c r="B726" s="1">
        <f>VLOOKUP(A726,[1]Sheet1!A:B,2,FALSE)</f>
        <v>40576</v>
      </c>
      <c r="C726" s="2">
        <v>0</v>
      </c>
      <c r="D726" s="2">
        <f>SUMIFS([1]Sheet1!D:D,[1]Sheet1!A:A,A726,[1]Sheet1!E:E,"Figurado")</f>
        <v>4138.5</v>
      </c>
      <c r="E726" s="2">
        <f>SUMIFS([1]Sheet1!D:D,[1]Sheet1!A:A,A726,[1]Sheet1!E:E,"Mallas")</f>
        <v>0</v>
      </c>
      <c r="F726" s="2">
        <f>SUMIFS([1]Sheet1!D:D,[1]Sheet1!A:A,A726,[1]Sheet1!E:E,"Materia Prima")</f>
        <v>456</v>
      </c>
      <c r="G726" s="2">
        <f t="shared" si="44"/>
        <v>1.5917307692307692</v>
      </c>
      <c r="H726">
        <f t="shared" si="45"/>
        <v>2</v>
      </c>
      <c r="I726" s="2">
        <f t="shared" si="46"/>
        <v>1.5917307692307692</v>
      </c>
      <c r="J726" s="2">
        <f t="shared" si="47"/>
        <v>0</v>
      </c>
    </row>
    <row r="727" spans="1:10" x14ac:dyDescent="0.3">
      <c r="A727">
        <v>1000017772</v>
      </c>
      <c r="B727" s="1">
        <f>VLOOKUP(A727,[1]Sheet1!A:B,2,FALSE)</f>
        <v>40576</v>
      </c>
      <c r="C727" s="2">
        <v>0</v>
      </c>
      <c r="D727" s="2">
        <f>SUMIFS([1]Sheet1!D:D,[1]Sheet1!A:A,A727,[1]Sheet1!E:E,"Figurado")</f>
        <v>848</v>
      </c>
      <c r="E727" s="2">
        <f>SUMIFS([1]Sheet1!D:D,[1]Sheet1!A:A,A727,[1]Sheet1!E:E,"Mallas")</f>
        <v>0</v>
      </c>
      <c r="F727" s="2">
        <f>SUMIFS([1]Sheet1!D:D,[1]Sheet1!A:A,A727,[1]Sheet1!E:E,"Materia Prima")</f>
        <v>2200</v>
      </c>
      <c r="G727" s="2">
        <f t="shared" si="44"/>
        <v>0.32615384615384613</v>
      </c>
      <c r="H727">
        <f t="shared" si="45"/>
        <v>2</v>
      </c>
      <c r="I727" s="2">
        <f t="shared" si="46"/>
        <v>0.32615384615384613</v>
      </c>
      <c r="J727" s="2">
        <f t="shared" si="47"/>
        <v>0</v>
      </c>
    </row>
    <row r="728" spans="1:10" x14ac:dyDescent="0.3">
      <c r="A728">
        <v>1000017780</v>
      </c>
      <c r="B728" s="1">
        <f>VLOOKUP(A728,[1]Sheet1!A:B,2,FALSE)</f>
        <v>40576</v>
      </c>
      <c r="C728" s="2">
        <v>0</v>
      </c>
      <c r="D728" s="2">
        <f>SUMIFS([1]Sheet1!D:D,[1]Sheet1!A:A,A728,[1]Sheet1!E:E,"Figurado")</f>
        <v>12927.4</v>
      </c>
      <c r="E728" s="2">
        <f>SUMIFS([1]Sheet1!D:D,[1]Sheet1!A:A,A728,[1]Sheet1!E:E,"Mallas")</f>
        <v>0</v>
      </c>
      <c r="F728" s="2">
        <f>SUMIFS([1]Sheet1!D:D,[1]Sheet1!A:A,A728,[1]Sheet1!E:E,"Materia Prima")</f>
        <v>0</v>
      </c>
      <c r="G728" s="2">
        <f t="shared" si="44"/>
        <v>4.9720769230769228</v>
      </c>
      <c r="H728">
        <f t="shared" si="45"/>
        <v>1</v>
      </c>
      <c r="I728" s="2">
        <f t="shared" si="46"/>
        <v>4.9720769230769228</v>
      </c>
      <c r="J728" s="2">
        <f t="shared" si="47"/>
        <v>0</v>
      </c>
    </row>
    <row r="729" spans="1:10" x14ac:dyDescent="0.3">
      <c r="A729">
        <v>1000017782</v>
      </c>
      <c r="B729" s="1">
        <f>VLOOKUP(A729,[1]Sheet1!A:B,2,FALSE)</f>
        <v>40576</v>
      </c>
      <c r="C729" s="2">
        <v>0</v>
      </c>
      <c r="D729" s="2">
        <f>SUMIFS([1]Sheet1!D:D,[1]Sheet1!A:A,A729,[1]Sheet1!E:E,"Figurado")</f>
        <v>846.1</v>
      </c>
      <c r="E729" s="2">
        <f>SUMIFS([1]Sheet1!D:D,[1]Sheet1!A:A,A729,[1]Sheet1!E:E,"Mallas")</f>
        <v>0</v>
      </c>
      <c r="F729" s="2">
        <f>SUMIFS([1]Sheet1!D:D,[1]Sheet1!A:A,A729,[1]Sheet1!E:E,"Materia Prima")</f>
        <v>0</v>
      </c>
      <c r="G729" s="2">
        <f t="shared" si="44"/>
        <v>0.32542307692307693</v>
      </c>
      <c r="H729">
        <f t="shared" si="45"/>
        <v>1</v>
      </c>
      <c r="I729" s="2">
        <f t="shared" si="46"/>
        <v>0.32542307692307693</v>
      </c>
      <c r="J729" s="2">
        <f t="shared" si="47"/>
        <v>0</v>
      </c>
    </row>
    <row r="730" spans="1:10" x14ac:dyDescent="0.3">
      <c r="A730">
        <v>1000017783</v>
      </c>
      <c r="B730" s="1">
        <f>VLOOKUP(A730,[1]Sheet1!A:B,2,FALSE)</f>
        <v>40576</v>
      </c>
      <c r="C730" s="2">
        <v>0</v>
      </c>
      <c r="D730" s="2">
        <f>SUMIFS([1]Sheet1!D:D,[1]Sheet1!A:A,A730,[1]Sheet1!E:E,"Figurado")</f>
        <v>335.5</v>
      </c>
      <c r="E730" s="2">
        <f>SUMIFS([1]Sheet1!D:D,[1]Sheet1!A:A,A730,[1]Sheet1!E:E,"Mallas")</f>
        <v>0</v>
      </c>
      <c r="F730" s="2">
        <f>SUMIFS([1]Sheet1!D:D,[1]Sheet1!A:A,A730,[1]Sheet1!E:E,"Materia Prima")</f>
        <v>161.30000000000001</v>
      </c>
      <c r="G730" s="2">
        <f t="shared" si="44"/>
        <v>0.12903846153846155</v>
      </c>
      <c r="H730">
        <f t="shared" si="45"/>
        <v>2</v>
      </c>
      <c r="I730" s="2">
        <f t="shared" si="46"/>
        <v>0.12903846153846155</v>
      </c>
      <c r="J730" s="2">
        <f t="shared" si="47"/>
        <v>0</v>
      </c>
    </row>
    <row r="731" spans="1:10" x14ac:dyDescent="0.3">
      <c r="A731">
        <v>1000017787</v>
      </c>
      <c r="B731" s="1">
        <f>VLOOKUP(A731,[1]Sheet1!A:B,2,FALSE)</f>
        <v>40576</v>
      </c>
      <c r="C731" s="2">
        <v>0</v>
      </c>
      <c r="D731" s="2">
        <f>SUMIFS([1]Sheet1!D:D,[1]Sheet1!A:A,A731,[1]Sheet1!E:E,"Figurado")</f>
        <v>4010.1</v>
      </c>
      <c r="E731" s="2">
        <f>SUMIFS([1]Sheet1!D:D,[1]Sheet1!A:A,A731,[1]Sheet1!E:E,"Mallas")</f>
        <v>0</v>
      </c>
      <c r="F731" s="2">
        <f>SUMIFS([1]Sheet1!D:D,[1]Sheet1!A:A,A731,[1]Sheet1!E:E,"Materia Prima")</f>
        <v>0</v>
      </c>
      <c r="G731" s="2">
        <f t="shared" si="44"/>
        <v>1.5423461538461538</v>
      </c>
      <c r="H731">
        <f t="shared" si="45"/>
        <v>1</v>
      </c>
      <c r="I731" s="2">
        <f t="shared" si="46"/>
        <v>1.5423461538461538</v>
      </c>
      <c r="J731" s="2">
        <f t="shared" si="47"/>
        <v>0</v>
      </c>
    </row>
    <row r="732" spans="1:10" x14ac:dyDescent="0.3">
      <c r="A732">
        <v>1000017788</v>
      </c>
      <c r="B732" s="1">
        <f>VLOOKUP(A732,[1]Sheet1!A:B,2,FALSE)</f>
        <v>40576</v>
      </c>
      <c r="C732" s="2">
        <v>0</v>
      </c>
      <c r="D732" s="2">
        <f>SUMIFS([1]Sheet1!D:D,[1]Sheet1!A:A,A732,[1]Sheet1!E:E,"Figurado")</f>
        <v>2522.6999999999998</v>
      </c>
      <c r="E732" s="2">
        <f>SUMIFS([1]Sheet1!D:D,[1]Sheet1!A:A,A732,[1]Sheet1!E:E,"Mallas")</f>
        <v>0</v>
      </c>
      <c r="F732" s="2">
        <f>SUMIFS([1]Sheet1!D:D,[1]Sheet1!A:A,A732,[1]Sheet1!E:E,"Materia Prima")</f>
        <v>0</v>
      </c>
      <c r="G732" s="2">
        <f t="shared" si="44"/>
        <v>0.97026923076923066</v>
      </c>
      <c r="H732">
        <f t="shared" si="45"/>
        <v>1</v>
      </c>
      <c r="I732" s="2">
        <f t="shared" si="46"/>
        <v>0.97026923076923066</v>
      </c>
      <c r="J732" s="2">
        <f t="shared" si="47"/>
        <v>0</v>
      </c>
    </row>
    <row r="733" spans="1:10" x14ac:dyDescent="0.3">
      <c r="A733">
        <v>1000017789</v>
      </c>
      <c r="B733" s="1">
        <f>VLOOKUP(A733,[1]Sheet1!A:B,2,FALSE)</f>
        <v>40576</v>
      </c>
      <c r="C733" s="2">
        <v>0</v>
      </c>
      <c r="D733" s="2">
        <f>SUMIFS([1]Sheet1!D:D,[1]Sheet1!A:A,A733,[1]Sheet1!E:E,"Figurado")</f>
        <v>65.2</v>
      </c>
      <c r="E733" s="2">
        <f>SUMIFS([1]Sheet1!D:D,[1]Sheet1!A:A,A733,[1]Sheet1!E:E,"Mallas")</f>
        <v>0</v>
      </c>
      <c r="F733" s="2">
        <f>SUMIFS([1]Sheet1!D:D,[1]Sheet1!A:A,A733,[1]Sheet1!E:E,"Materia Prima")</f>
        <v>0</v>
      </c>
      <c r="G733" s="2">
        <f t="shared" si="44"/>
        <v>2.5076923076923077E-2</v>
      </c>
      <c r="H733">
        <f t="shared" si="45"/>
        <v>1</v>
      </c>
      <c r="I733" s="2">
        <f t="shared" si="46"/>
        <v>2.5076923076923077E-2</v>
      </c>
      <c r="J733" s="2">
        <f t="shared" si="47"/>
        <v>0</v>
      </c>
    </row>
    <row r="734" spans="1:10" x14ac:dyDescent="0.3">
      <c r="A734">
        <v>1000017795</v>
      </c>
      <c r="B734" s="1">
        <f>VLOOKUP(A734,[1]Sheet1!A:B,2,FALSE)</f>
        <v>40576</v>
      </c>
      <c r="C734" s="2">
        <v>0</v>
      </c>
      <c r="D734" s="2">
        <f>SUMIFS([1]Sheet1!D:D,[1]Sheet1!A:A,A734,[1]Sheet1!E:E,"Figurado")</f>
        <v>417.7</v>
      </c>
      <c r="E734" s="2">
        <f>SUMIFS([1]Sheet1!D:D,[1]Sheet1!A:A,A734,[1]Sheet1!E:E,"Mallas")</f>
        <v>0</v>
      </c>
      <c r="F734" s="2">
        <f>SUMIFS([1]Sheet1!D:D,[1]Sheet1!A:A,A734,[1]Sheet1!E:E,"Materia Prima")</f>
        <v>53.8</v>
      </c>
      <c r="G734" s="2">
        <f t="shared" si="44"/>
        <v>0.16065384615384615</v>
      </c>
      <c r="H734">
        <f t="shared" si="45"/>
        <v>2</v>
      </c>
      <c r="I734" s="2">
        <f t="shared" si="46"/>
        <v>0.16065384615384615</v>
      </c>
      <c r="J734" s="2">
        <f t="shared" si="47"/>
        <v>0</v>
      </c>
    </row>
    <row r="735" spans="1:10" x14ac:dyDescent="0.3">
      <c r="A735">
        <v>1000017796</v>
      </c>
      <c r="B735" s="1">
        <f>VLOOKUP(A735,[1]Sheet1!A:B,2,FALSE)</f>
        <v>40576</v>
      </c>
      <c r="C735" s="2">
        <v>0</v>
      </c>
      <c r="D735" s="2">
        <f>SUMIFS([1]Sheet1!D:D,[1]Sheet1!A:A,A735,[1]Sheet1!E:E,"Figurado")</f>
        <v>1342.2</v>
      </c>
      <c r="E735" s="2">
        <f>SUMIFS([1]Sheet1!D:D,[1]Sheet1!A:A,A735,[1]Sheet1!E:E,"Mallas")</f>
        <v>0</v>
      </c>
      <c r="F735" s="2">
        <f>SUMIFS([1]Sheet1!D:D,[1]Sheet1!A:A,A735,[1]Sheet1!E:E,"Materia Prima")</f>
        <v>0</v>
      </c>
      <c r="G735" s="2">
        <f t="shared" si="44"/>
        <v>0.51623076923076927</v>
      </c>
      <c r="H735">
        <f t="shared" si="45"/>
        <v>1</v>
      </c>
      <c r="I735" s="2">
        <f t="shared" si="46"/>
        <v>0.51623076923076927</v>
      </c>
      <c r="J735" s="2">
        <f t="shared" si="47"/>
        <v>0</v>
      </c>
    </row>
    <row r="736" spans="1:10" x14ac:dyDescent="0.3">
      <c r="A736">
        <v>1000017797</v>
      </c>
      <c r="B736" s="1">
        <f>VLOOKUP(A736,[1]Sheet1!A:B,2,FALSE)</f>
        <v>40576</v>
      </c>
      <c r="C736" s="2">
        <v>0</v>
      </c>
      <c r="D736" s="2">
        <f>SUMIFS([1]Sheet1!D:D,[1]Sheet1!A:A,A736,[1]Sheet1!E:E,"Figurado")</f>
        <v>954.8</v>
      </c>
      <c r="E736" s="2">
        <f>SUMIFS([1]Sheet1!D:D,[1]Sheet1!A:A,A736,[1]Sheet1!E:E,"Mallas")</f>
        <v>0</v>
      </c>
      <c r="F736" s="2">
        <f>SUMIFS([1]Sheet1!D:D,[1]Sheet1!A:A,A736,[1]Sheet1!E:E,"Materia Prima")</f>
        <v>0</v>
      </c>
      <c r="G736" s="2">
        <f t="shared" si="44"/>
        <v>0.36723076923076919</v>
      </c>
      <c r="H736">
        <f t="shared" si="45"/>
        <v>1</v>
      </c>
      <c r="I736" s="2">
        <f t="shared" si="46"/>
        <v>0.36723076923076919</v>
      </c>
      <c r="J736" s="2">
        <f t="shared" si="47"/>
        <v>0</v>
      </c>
    </row>
    <row r="737" spans="1:10" x14ac:dyDescent="0.3">
      <c r="A737">
        <v>1000017798</v>
      </c>
      <c r="B737" s="1">
        <f>VLOOKUP(A737,[1]Sheet1!A:B,2,FALSE)</f>
        <v>40576</v>
      </c>
      <c r="C737" s="2">
        <v>0</v>
      </c>
      <c r="D737" s="2">
        <f>SUMIFS([1]Sheet1!D:D,[1]Sheet1!A:A,A737,[1]Sheet1!E:E,"Figurado")</f>
        <v>1624</v>
      </c>
      <c r="E737" s="2">
        <f>SUMIFS([1]Sheet1!D:D,[1]Sheet1!A:A,A737,[1]Sheet1!E:E,"Mallas")</f>
        <v>0</v>
      </c>
      <c r="F737" s="2">
        <f>SUMIFS([1]Sheet1!D:D,[1]Sheet1!A:A,A737,[1]Sheet1!E:E,"Materia Prima")</f>
        <v>0</v>
      </c>
      <c r="G737" s="2">
        <f t="shared" si="44"/>
        <v>0.62461538461538457</v>
      </c>
      <c r="H737">
        <f t="shared" si="45"/>
        <v>1</v>
      </c>
      <c r="I737" s="2">
        <f t="shared" si="46"/>
        <v>0.62461538461538457</v>
      </c>
      <c r="J737" s="2">
        <f t="shared" si="47"/>
        <v>0</v>
      </c>
    </row>
    <row r="738" spans="1:10" x14ac:dyDescent="0.3">
      <c r="A738">
        <v>1000017799</v>
      </c>
      <c r="B738" s="1">
        <f>VLOOKUP(A738,[1]Sheet1!A:B,2,FALSE)</f>
        <v>40576</v>
      </c>
      <c r="C738" s="2">
        <v>0</v>
      </c>
      <c r="D738" s="2">
        <f>SUMIFS([1]Sheet1!D:D,[1]Sheet1!A:A,A738,[1]Sheet1!E:E,"Figurado")</f>
        <v>44.4</v>
      </c>
      <c r="E738" s="2">
        <f>SUMIFS([1]Sheet1!D:D,[1]Sheet1!A:A,A738,[1]Sheet1!E:E,"Mallas")</f>
        <v>0</v>
      </c>
      <c r="F738" s="2">
        <f>SUMIFS([1]Sheet1!D:D,[1]Sheet1!A:A,A738,[1]Sheet1!E:E,"Materia Prima")</f>
        <v>0</v>
      </c>
      <c r="G738" s="2">
        <f t="shared" si="44"/>
        <v>1.7076923076923076E-2</v>
      </c>
      <c r="H738">
        <f t="shared" si="45"/>
        <v>1</v>
      </c>
      <c r="I738" s="2">
        <f t="shared" si="46"/>
        <v>1.7076923076923076E-2</v>
      </c>
      <c r="J738" s="2">
        <f t="shared" si="47"/>
        <v>0</v>
      </c>
    </row>
    <row r="739" spans="1:10" x14ac:dyDescent="0.3">
      <c r="A739">
        <v>1000017800</v>
      </c>
      <c r="B739" s="1">
        <f>VLOOKUP(A739,[1]Sheet1!A:B,2,FALSE)</f>
        <v>40576</v>
      </c>
      <c r="C739" s="2">
        <v>0</v>
      </c>
      <c r="D739" s="2">
        <f>SUMIFS([1]Sheet1!D:D,[1]Sheet1!A:A,A739,[1]Sheet1!E:E,"Figurado")</f>
        <v>2934.5</v>
      </c>
      <c r="E739" s="2">
        <f>SUMIFS([1]Sheet1!D:D,[1]Sheet1!A:A,A739,[1]Sheet1!E:E,"Mallas")</f>
        <v>0</v>
      </c>
      <c r="F739" s="2">
        <f>SUMIFS([1]Sheet1!D:D,[1]Sheet1!A:A,A739,[1]Sheet1!E:E,"Materia Prima")</f>
        <v>799.7</v>
      </c>
      <c r="G739" s="2">
        <f t="shared" si="44"/>
        <v>1.1286538461538462</v>
      </c>
      <c r="H739">
        <f t="shared" si="45"/>
        <v>2</v>
      </c>
      <c r="I739" s="2">
        <f t="shared" si="46"/>
        <v>1.1286538461538462</v>
      </c>
      <c r="J739" s="2">
        <f t="shared" si="47"/>
        <v>0</v>
      </c>
    </row>
    <row r="740" spans="1:10" x14ac:dyDescent="0.3">
      <c r="A740">
        <v>1000017801</v>
      </c>
      <c r="B740" s="1">
        <f>VLOOKUP(A740,[1]Sheet1!A:B,2,FALSE)</f>
        <v>40576</v>
      </c>
      <c r="C740" s="2">
        <v>0</v>
      </c>
      <c r="D740" s="2">
        <f>SUMIFS([1]Sheet1!D:D,[1]Sheet1!A:A,A740,[1]Sheet1!E:E,"Figurado")</f>
        <v>1705.6000000000001</v>
      </c>
      <c r="E740" s="2">
        <f>SUMIFS([1]Sheet1!D:D,[1]Sheet1!A:A,A740,[1]Sheet1!E:E,"Mallas")</f>
        <v>0</v>
      </c>
      <c r="F740" s="2">
        <f>SUMIFS([1]Sheet1!D:D,[1]Sheet1!A:A,A740,[1]Sheet1!E:E,"Materia Prima")</f>
        <v>241.9</v>
      </c>
      <c r="G740" s="2">
        <f t="shared" si="44"/>
        <v>0.65600000000000003</v>
      </c>
      <c r="H740">
        <f t="shared" si="45"/>
        <v>2</v>
      </c>
      <c r="I740" s="2">
        <f t="shared" si="46"/>
        <v>0.65600000000000003</v>
      </c>
      <c r="J740" s="2">
        <f t="shared" si="47"/>
        <v>0</v>
      </c>
    </row>
    <row r="741" spans="1:10" x14ac:dyDescent="0.3">
      <c r="A741">
        <v>1000017802</v>
      </c>
      <c r="B741" s="1">
        <f>VLOOKUP(A741,[1]Sheet1!A:B,2,FALSE)</f>
        <v>40576</v>
      </c>
      <c r="C741" s="2">
        <v>0</v>
      </c>
      <c r="D741" s="2">
        <f>SUMIFS([1]Sheet1!D:D,[1]Sheet1!A:A,A741,[1]Sheet1!E:E,"Figurado")</f>
        <v>747.9</v>
      </c>
      <c r="E741" s="2">
        <f>SUMIFS([1]Sheet1!D:D,[1]Sheet1!A:A,A741,[1]Sheet1!E:E,"Mallas")</f>
        <v>0</v>
      </c>
      <c r="F741" s="2">
        <f>SUMIFS([1]Sheet1!D:D,[1]Sheet1!A:A,A741,[1]Sheet1!E:E,"Materia Prima")</f>
        <v>0</v>
      </c>
      <c r="G741" s="2">
        <f t="shared" si="44"/>
        <v>0.28765384615384615</v>
      </c>
      <c r="H741">
        <f t="shared" si="45"/>
        <v>1</v>
      </c>
      <c r="I741" s="2">
        <f t="shared" si="46"/>
        <v>0.28765384615384615</v>
      </c>
      <c r="J741" s="2">
        <f t="shared" si="47"/>
        <v>0</v>
      </c>
    </row>
    <row r="742" spans="1:10" x14ac:dyDescent="0.3">
      <c r="A742">
        <v>1000017803</v>
      </c>
      <c r="B742" s="1">
        <f>VLOOKUP(A742,[1]Sheet1!A:B,2,FALSE)</f>
        <v>40576</v>
      </c>
      <c r="C742" s="2">
        <v>0</v>
      </c>
      <c r="D742" s="2">
        <f>SUMIFS([1]Sheet1!D:D,[1]Sheet1!A:A,A742,[1]Sheet1!E:E,"Figurado")</f>
        <v>2288.6999999999998</v>
      </c>
      <c r="E742" s="2">
        <f>SUMIFS([1]Sheet1!D:D,[1]Sheet1!A:A,A742,[1]Sheet1!E:E,"Mallas")</f>
        <v>0</v>
      </c>
      <c r="F742" s="2">
        <f>SUMIFS([1]Sheet1!D:D,[1]Sheet1!A:A,A742,[1]Sheet1!E:E,"Materia Prima")</f>
        <v>0</v>
      </c>
      <c r="G742" s="2">
        <f t="shared" si="44"/>
        <v>0.88026923076923069</v>
      </c>
      <c r="H742">
        <f t="shared" si="45"/>
        <v>1</v>
      </c>
      <c r="I742" s="2">
        <f t="shared" si="46"/>
        <v>0.88026923076923069</v>
      </c>
      <c r="J742" s="2">
        <f t="shared" si="47"/>
        <v>0</v>
      </c>
    </row>
    <row r="743" spans="1:10" x14ac:dyDescent="0.3">
      <c r="A743">
        <v>1000017805</v>
      </c>
      <c r="B743" s="1">
        <f>VLOOKUP(A743,[1]Sheet1!A:B,2,FALSE)</f>
        <v>40576</v>
      </c>
      <c r="C743" s="2">
        <v>0</v>
      </c>
      <c r="D743" s="2">
        <f>SUMIFS([1]Sheet1!D:D,[1]Sheet1!A:A,A743,[1]Sheet1!E:E,"Figurado")</f>
        <v>4288.7</v>
      </c>
      <c r="E743" s="2">
        <f>SUMIFS([1]Sheet1!D:D,[1]Sheet1!A:A,A743,[1]Sheet1!E:E,"Mallas")</f>
        <v>0</v>
      </c>
      <c r="F743" s="2">
        <f>SUMIFS([1]Sheet1!D:D,[1]Sheet1!A:A,A743,[1]Sheet1!E:E,"Materia Prima")</f>
        <v>0</v>
      </c>
      <c r="G743" s="2">
        <f t="shared" si="44"/>
        <v>1.6495</v>
      </c>
      <c r="H743">
        <f t="shared" si="45"/>
        <v>1</v>
      </c>
      <c r="I743" s="2">
        <f t="shared" si="46"/>
        <v>1.6495</v>
      </c>
      <c r="J743" s="2">
        <f t="shared" si="47"/>
        <v>0</v>
      </c>
    </row>
    <row r="744" spans="1:10" x14ac:dyDescent="0.3">
      <c r="A744">
        <v>1000017806</v>
      </c>
      <c r="B744" s="1">
        <f>VLOOKUP(A744,[1]Sheet1!A:B,2,FALSE)</f>
        <v>40576</v>
      </c>
      <c r="C744" s="2">
        <v>0</v>
      </c>
      <c r="D744" s="2">
        <f>SUMIFS([1]Sheet1!D:D,[1]Sheet1!A:A,A744,[1]Sheet1!E:E,"Figurado")</f>
        <v>2616.4</v>
      </c>
      <c r="E744" s="2">
        <f>SUMIFS([1]Sheet1!D:D,[1]Sheet1!A:A,A744,[1]Sheet1!E:E,"Mallas")</f>
        <v>0</v>
      </c>
      <c r="F744" s="2">
        <f>SUMIFS([1]Sheet1!D:D,[1]Sheet1!A:A,A744,[1]Sheet1!E:E,"Materia Prima")</f>
        <v>0</v>
      </c>
      <c r="G744" s="2">
        <f t="shared" si="44"/>
        <v>1.0063076923076923</v>
      </c>
      <c r="H744">
        <f t="shared" si="45"/>
        <v>1</v>
      </c>
      <c r="I744" s="2">
        <f t="shared" si="46"/>
        <v>1.0063076923076923</v>
      </c>
      <c r="J744" s="2">
        <f t="shared" si="47"/>
        <v>0</v>
      </c>
    </row>
    <row r="745" spans="1:10" x14ac:dyDescent="0.3">
      <c r="A745">
        <v>1000017807</v>
      </c>
      <c r="B745" s="1">
        <f>VLOOKUP(A745,[1]Sheet1!A:B,2,FALSE)</f>
        <v>40577</v>
      </c>
      <c r="C745" s="2">
        <v>0</v>
      </c>
      <c r="D745" s="2">
        <f>SUMIFS([1]Sheet1!D:D,[1]Sheet1!A:A,A745,[1]Sheet1!E:E,"Figurado")</f>
        <v>2675.6</v>
      </c>
      <c r="E745" s="2">
        <f>SUMIFS([1]Sheet1!D:D,[1]Sheet1!A:A,A745,[1]Sheet1!E:E,"Mallas")</f>
        <v>0</v>
      </c>
      <c r="F745" s="2">
        <f>SUMIFS([1]Sheet1!D:D,[1]Sheet1!A:A,A745,[1]Sheet1!E:E,"Materia Prima")</f>
        <v>384</v>
      </c>
      <c r="G745" s="2">
        <f t="shared" si="44"/>
        <v>1.029076923076923</v>
      </c>
      <c r="H745">
        <f t="shared" si="45"/>
        <v>2</v>
      </c>
      <c r="I745" s="2">
        <f t="shared" si="46"/>
        <v>1.029076923076923</v>
      </c>
      <c r="J745" s="2">
        <f t="shared" si="47"/>
        <v>0</v>
      </c>
    </row>
    <row r="746" spans="1:10" x14ac:dyDescent="0.3">
      <c r="A746">
        <v>1000017813</v>
      </c>
      <c r="B746" s="1">
        <f>VLOOKUP(A746,[1]Sheet1!A:B,2,FALSE)</f>
        <v>40577</v>
      </c>
      <c r="C746" s="2">
        <v>0</v>
      </c>
      <c r="D746" s="2">
        <f>SUMIFS([1]Sheet1!D:D,[1]Sheet1!A:A,A746,[1]Sheet1!E:E,"Figurado")</f>
        <v>1038.3</v>
      </c>
      <c r="E746" s="2">
        <f>SUMIFS([1]Sheet1!D:D,[1]Sheet1!A:A,A746,[1]Sheet1!E:E,"Mallas")</f>
        <v>0</v>
      </c>
      <c r="F746" s="2">
        <f>SUMIFS([1]Sheet1!D:D,[1]Sheet1!A:A,A746,[1]Sheet1!E:E,"Materia Prima")</f>
        <v>0</v>
      </c>
      <c r="G746" s="2">
        <f t="shared" si="44"/>
        <v>0.39934615384615385</v>
      </c>
      <c r="H746">
        <f t="shared" si="45"/>
        <v>1</v>
      </c>
      <c r="I746" s="2">
        <f t="shared" si="46"/>
        <v>0.39934615384615385</v>
      </c>
      <c r="J746" s="2">
        <f t="shared" si="47"/>
        <v>0</v>
      </c>
    </row>
    <row r="747" spans="1:10" x14ac:dyDescent="0.3">
      <c r="A747">
        <v>1000017815</v>
      </c>
      <c r="B747" s="1">
        <f>VLOOKUP(A747,[1]Sheet1!A:B,2,FALSE)</f>
        <v>40577</v>
      </c>
      <c r="C747" s="2">
        <v>0</v>
      </c>
      <c r="D747" s="2">
        <f>SUMIFS([1]Sheet1!D:D,[1]Sheet1!A:A,A747,[1]Sheet1!E:E,"Figurado")</f>
        <v>700.4</v>
      </c>
      <c r="E747" s="2">
        <f>SUMIFS([1]Sheet1!D:D,[1]Sheet1!A:A,A747,[1]Sheet1!E:E,"Mallas")</f>
        <v>0</v>
      </c>
      <c r="F747" s="2">
        <f>SUMIFS([1]Sheet1!D:D,[1]Sheet1!A:A,A747,[1]Sheet1!E:E,"Materia Prima")</f>
        <v>0</v>
      </c>
      <c r="G747" s="2">
        <f t="shared" si="44"/>
        <v>0.26938461538461539</v>
      </c>
      <c r="H747">
        <f t="shared" si="45"/>
        <v>1</v>
      </c>
      <c r="I747" s="2">
        <f t="shared" si="46"/>
        <v>0.26938461538461539</v>
      </c>
      <c r="J747" s="2">
        <f t="shared" si="47"/>
        <v>0</v>
      </c>
    </row>
    <row r="748" spans="1:10" x14ac:dyDescent="0.3">
      <c r="A748">
        <v>1000017816</v>
      </c>
      <c r="B748" s="1">
        <f>VLOOKUP(A748,[1]Sheet1!A:B,2,FALSE)</f>
        <v>40577</v>
      </c>
      <c r="C748" s="2">
        <v>0</v>
      </c>
      <c r="D748" s="2">
        <f>SUMIFS([1]Sheet1!D:D,[1]Sheet1!A:A,A748,[1]Sheet1!E:E,"Figurado")</f>
        <v>750.2</v>
      </c>
      <c r="E748" s="2">
        <f>SUMIFS([1]Sheet1!D:D,[1]Sheet1!A:A,A748,[1]Sheet1!E:E,"Mallas")</f>
        <v>0</v>
      </c>
      <c r="F748" s="2">
        <f>SUMIFS([1]Sheet1!D:D,[1]Sheet1!A:A,A748,[1]Sheet1!E:E,"Materia Prima")</f>
        <v>0</v>
      </c>
      <c r="G748" s="2">
        <f t="shared" si="44"/>
        <v>0.28853846153846158</v>
      </c>
      <c r="H748">
        <f t="shared" si="45"/>
        <v>1</v>
      </c>
      <c r="I748" s="2">
        <f t="shared" si="46"/>
        <v>0.28853846153846158</v>
      </c>
      <c r="J748" s="2">
        <f t="shared" si="47"/>
        <v>0</v>
      </c>
    </row>
    <row r="749" spans="1:10" x14ac:dyDescent="0.3">
      <c r="A749">
        <v>1000017817</v>
      </c>
      <c r="B749" s="1">
        <f>VLOOKUP(A749,[1]Sheet1!A:B,2,FALSE)</f>
        <v>40577</v>
      </c>
      <c r="C749" s="2">
        <v>0</v>
      </c>
      <c r="D749" s="2">
        <f>SUMIFS([1]Sheet1!D:D,[1]Sheet1!A:A,A749,[1]Sheet1!E:E,"Figurado")</f>
        <v>1038.3</v>
      </c>
      <c r="E749" s="2">
        <f>SUMIFS([1]Sheet1!D:D,[1]Sheet1!A:A,A749,[1]Sheet1!E:E,"Mallas")</f>
        <v>0</v>
      </c>
      <c r="F749" s="2">
        <f>SUMIFS([1]Sheet1!D:D,[1]Sheet1!A:A,A749,[1]Sheet1!E:E,"Materia Prima")</f>
        <v>0</v>
      </c>
      <c r="G749" s="2">
        <f t="shared" si="44"/>
        <v>0.39934615384615385</v>
      </c>
      <c r="H749">
        <f t="shared" si="45"/>
        <v>1</v>
      </c>
      <c r="I749" s="2">
        <f t="shared" si="46"/>
        <v>0.39934615384615385</v>
      </c>
      <c r="J749" s="2">
        <f t="shared" si="47"/>
        <v>0</v>
      </c>
    </row>
    <row r="750" spans="1:10" x14ac:dyDescent="0.3">
      <c r="A750">
        <v>1000017818</v>
      </c>
      <c r="B750" s="1">
        <f>VLOOKUP(A750,[1]Sheet1!A:B,2,FALSE)</f>
        <v>40577</v>
      </c>
      <c r="C750" s="2">
        <v>0</v>
      </c>
      <c r="D750" s="2">
        <f>SUMIFS([1]Sheet1!D:D,[1]Sheet1!A:A,A750,[1]Sheet1!E:E,"Figurado")</f>
        <v>4237.1000000000004</v>
      </c>
      <c r="E750" s="2">
        <f>SUMIFS([1]Sheet1!D:D,[1]Sheet1!A:A,A750,[1]Sheet1!E:E,"Mallas")</f>
        <v>0</v>
      </c>
      <c r="F750" s="2">
        <f>SUMIFS([1]Sheet1!D:D,[1]Sheet1!A:A,A750,[1]Sheet1!E:E,"Materia Prima")</f>
        <v>53.8</v>
      </c>
      <c r="G750" s="2">
        <f t="shared" si="44"/>
        <v>1.6296538461538463</v>
      </c>
      <c r="H750">
        <f t="shared" si="45"/>
        <v>2</v>
      </c>
      <c r="I750" s="2">
        <f t="shared" si="46"/>
        <v>1.6296538461538463</v>
      </c>
      <c r="J750" s="2">
        <f t="shared" si="47"/>
        <v>0</v>
      </c>
    </row>
    <row r="751" spans="1:10" x14ac:dyDescent="0.3">
      <c r="A751">
        <v>1000017819</v>
      </c>
      <c r="B751" s="1">
        <f>VLOOKUP(A751,[1]Sheet1!A:B,2,FALSE)</f>
        <v>40577</v>
      </c>
      <c r="C751" s="2">
        <v>0</v>
      </c>
      <c r="D751" s="2">
        <f>SUMIFS([1]Sheet1!D:D,[1]Sheet1!A:A,A751,[1]Sheet1!E:E,"Figurado")</f>
        <v>762.7</v>
      </c>
      <c r="E751" s="2">
        <f>SUMIFS([1]Sheet1!D:D,[1]Sheet1!A:A,A751,[1]Sheet1!E:E,"Mallas")</f>
        <v>0</v>
      </c>
      <c r="F751" s="2">
        <f>SUMIFS([1]Sheet1!D:D,[1]Sheet1!A:A,A751,[1]Sheet1!E:E,"Materia Prima")</f>
        <v>0</v>
      </c>
      <c r="G751" s="2">
        <f t="shared" si="44"/>
        <v>0.29334615384615387</v>
      </c>
      <c r="H751">
        <f t="shared" si="45"/>
        <v>1</v>
      </c>
      <c r="I751" s="2">
        <f t="shared" si="46"/>
        <v>0.29334615384615387</v>
      </c>
      <c r="J751" s="2">
        <f t="shared" si="47"/>
        <v>0</v>
      </c>
    </row>
    <row r="752" spans="1:10" x14ac:dyDescent="0.3">
      <c r="A752">
        <v>1000017827</v>
      </c>
      <c r="B752" s="1">
        <f>VLOOKUP(A752,[1]Sheet1!A:B,2,FALSE)</f>
        <v>40577</v>
      </c>
      <c r="C752" s="2">
        <v>0</v>
      </c>
      <c r="D752" s="2">
        <f>SUMIFS([1]Sheet1!D:D,[1]Sheet1!A:A,A752,[1]Sheet1!E:E,"Figurado")</f>
        <v>4111.5</v>
      </c>
      <c r="E752" s="2">
        <f>SUMIFS([1]Sheet1!D:D,[1]Sheet1!A:A,A752,[1]Sheet1!E:E,"Mallas")</f>
        <v>0</v>
      </c>
      <c r="F752" s="2">
        <f>SUMIFS([1]Sheet1!D:D,[1]Sheet1!A:A,A752,[1]Sheet1!E:E,"Materia Prima")</f>
        <v>0</v>
      </c>
      <c r="G752" s="2">
        <f t="shared" si="44"/>
        <v>1.581346153846154</v>
      </c>
      <c r="H752">
        <f t="shared" si="45"/>
        <v>1</v>
      </c>
      <c r="I752" s="2">
        <f t="shared" si="46"/>
        <v>1.581346153846154</v>
      </c>
      <c r="J752" s="2">
        <f t="shared" si="47"/>
        <v>0</v>
      </c>
    </row>
    <row r="753" spans="1:10" x14ac:dyDescent="0.3">
      <c r="A753">
        <v>1000017828</v>
      </c>
      <c r="B753" s="1">
        <f>VLOOKUP(A753,[1]Sheet1!A:B,2,FALSE)</f>
        <v>40577</v>
      </c>
      <c r="C753" s="2">
        <v>0</v>
      </c>
      <c r="D753" s="2">
        <f>SUMIFS([1]Sheet1!D:D,[1]Sheet1!A:A,A753,[1]Sheet1!E:E,"Figurado")</f>
        <v>1358</v>
      </c>
      <c r="E753" s="2">
        <f>SUMIFS([1]Sheet1!D:D,[1]Sheet1!A:A,A753,[1]Sheet1!E:E,"Mallas")</f>
        <v>0</v>
      </c>
      <c r="F753" s="2">
        <f>SUMIFS([1]Sheet1!D:D,[1]Sheet1!A:A,A753,[1]Sheet1!E:E,"Materia Prima")</f>
        <v>0</v>
      </c>
      <c r="G753" s="2">
        <f t="shared" si="44"/>
        <v>0.52230769230769236</v>
      </c>
      <c r="H753">
        <f t="shared" si="45"/>
        <v>1</v>
      </c>
      <c r="I753" s="2">
        <f t="shared" si="46"/>
        <v>0.52230769230769236</v>
      </c>
      <c r="J753" s="2">
        <f t="shared" si="47"/>
        <v>0</v>
      </c>
    </row>
    <row r="754" spans="1:10" x14ac:dyDescent="0.3">
      <c r="A754">
        <v>1000017829</v>
      </c>
      <c r="B754" s="1">
        <f>VLOOKUP(A754,[1]Sheet1!A:B,2,FALSE)</f>
        <v>40577</v>
      </c>
      <c r="C754" s="2">
        <v>0</v>
      </c>
      <c r="D754" s="2">
        <f>SUMIFS([1]Sheet1!D:D,[1]Sheet1!A:A,A754,[1]Sheet1!E:E,"Figurado")</f>
        <v>402.6</v>
      </c>
      <c r="E754" s="2">
        <f>SUMIFS([1]Sheet1!D:D,[1]Sheet1!A:A,A754,[1]Sheet1!E:E,"Mallas")</f>
        <v>0</v>
      </c>
      <c r="F754" s="2">
        <f>SUMIFS([1]Sheet1!D:D,[1]Sheet1!A:A,A754,[1]Sheet1!E:E,"Materia Prima")</f>
        <v>0</v>
      </c>
      <c r="G754" s="2">
        <f t="shared" si="44"/>
        <v>0.15484615384615386</v>
      </c>
      <c r="H754">
        <f t="shared" si="45"/>
        <v>1</v>
      </c>
      <c r="I754" s="2">
        <f t="shared" si="46"/>
        <v>0.15484615384615386</v>
      </c>
      <c r="J754" s="2">
        <f t="shared" si="47"/>
        <v>0</v>
      </c>
    </row>
    <row r="755" spans="1:10" x14ac:dyDescent="0.3">
      <c r="A755">
        <v>1000017830</v>
      </c>
      <c r="B755" s="1">
        <f>VLOOKUP(A755,[1]Sheet1!A:B,2,FALSE)</f>
        <v>40577</v>
      </c>
      <c r="C755" s="2">
        <v>0</v>
      </c>
      <c r="D755" s="2">
        <f>SUMIFS([1]Sheet1!D:D,[1]Sheet1!A:A,A755,[1]Sheet1!E:E,"Figurado")</f>
        <v>704</v>
      </c>
      <c r="E755" s="2">
        <f>SUMIFS([1]Sheet1!D:D,[1]Sheet1!A:A,A755,[1]Sheet1!E:E,"Mallas")</f>
        <v>0</v>
      </c>
      <c r="F755" s="2">
        <f>SUMIFS([1]Sheet1!D:D,[1]Sheet1!A:A,A755,[1]Sheet1!E:E,"Materia Prima")</f>
        <v>0</v>
      </c>
      <c r="G755" s="2">
        <f t="shared" si="44"/>
        <v>0.27076923076923076</v>
      </c>
      <c r="H755">
        <f t="shared" si="45"/>
        <v>1</v>
      </c>
      <c r="I755" s="2">
        <f t="shared" si="46"/>
        <v>0.27076923076923076</v>
      </c>
      <c r="J755" s="2">
        <f t="shared" si="47"/>
        <v>0</v>
      </c>
    </row>
    <row r="756" spans="1:10" x14ac:dyDescent="0.3">
      <c r="A756">
        <v>1000017493</v>
      </c>
      <c r="B756" s="1">
        <f>VLOOKUP(A756,[1]Sheet1!A:B,2,FALSE)</f>
        <v>40568</v>
      </c>
      <c r="C756" s="2">
        <v>0</v>
      </c>
      <c r="D756" s="2">
        <f>SUMIFS([1]Sheet1!D:D,[1]Sheet1!A:A,A756,[1]Sheet1!E:E,"Figurado")</f>
        <v>0</v>
      </c>
      <c r="E756" s="2">
        <f>SUMIFS([1]Sheet1!D:D,[1]Sheet1!A:A,A756,[1]Sheet1!E:E,"Mallas")</f>
        <v>3032.78</v>
      </c>
      <c r="F756" s="2">
        <f>SUMIFS([1]Sheet1!D:D,[1]Sheet1!A:A,A756,[1]Sheet1!E:E,"Materia Prima")</f>
        <v>0</v>
      </c>
      <c r="G756" s="2">
        <f t="shared" si="44"/>
        <v>3.7909750000000004</v>
      </c>
      <c r="H756">
        <f t="shared" si="45"/>
        <v>1</v>
      </c>
      <c r="I756" s="2">
        <f t="shared" si="46"/>
        <v>0</v>
      </c>
      <c r="J756" s="2">
        <f t="shared" si="47"/>
        <v>3.7909750000000004</v>
      </c>
    </row>
    <row r="757" spans="1:10" x14ac:dyDescent="0.3">
      <c r="A757">
        <v>1000017639</v>
      </c>
      <c r="B757" s="1">
        <f>VLOOKUP(A757,[1]Sheet1!A:B,2,FALSE)</f>
        <v>40571</v>
      </c>
      <c r="C757" s="2">
        <v>0</v>
      </c>
      <c r="D757" s="2">
        <f>SUMIFS([1]Sheet1!D:D,[1]Sheet1!A:A,A757,[1]Sheet1!E:E,"Figurado")</f>
        <v>0</v>
      </c>
      <c r="E757" s="2">
        <f>SUMIFS([1]Sheet1!D:D,[1]Sheet1!A:A,A757,[1]Sheet1!E:E,"Mallas")</f>
        <v>959.48</v>
      </c>
      <c r="F757" s="2">
        <f>SUMIFS([1]Sheet1!D:D,[1]Sheet1!A:A,A757,[1]Sheet1!E:E,"Materia Prima")</f>
        <v>0</v>
      </c>
      <c r="G757" s="2">
        <f t="shared" si="44"/>
        <v>1.1993499999999999</v>
      </c>
      <c r="H757">
        <f t="shared" si="45"/>
        <v>1</v>
      </c>
      <c r="I757" s="2">
        <f t="shared" si="46"/>
        <v>0</v>
      </c>
      <c r="J757" s="2">
        <f t="shared" si="47"/>
        <v>1.1993499999999999</v>
      </c>
    </row>
    <row r="758" spans="1:10" x14ac:dyDescent="0.3">
      <c r="A758">
        <v>1000017674</v>
      </c>
      <c r="B758" s="1">
        <f>VLOOKUP(A758,[1]Sheet1!A:B,2,FALSE)</f>
        <v>40572</v>
      </c>
      <c r="C758" s="2">
        <v>0</v>
      </c>
      <c r="D758" s="2">
        <f>SUMIFS([1]Sheet1!D:D,[1]Sheet1!A:A,A758,[1]Sheet1!E:E,"Figurado")</f>
        <v>0</v>
      </c>
      <c r="E758" s="2">
        <f>SUMIFS([1]Sheet1!D:D,[1]Sheet1!A:A,A758,[1]Sheet1!E:E,"Mallas")</f>
        <v>926.23</v>
      </c>
      <c r="F758" s="2">
        <f>SUMIFS([1]Sheet1!D:D,[1]Sheet1!A:A,A758,[1]Sheet1!E:E,"Materia Prima")</f>
        <v>0</v>
      </c>
      <c r="G758" s="2">
        <f t="shared" si="44"/>
        <v>1.1577875</v>
      </c>
      <c r="H758">
        <f t="shared" si="45"/>
        <v>1</v>
      </c>
      <c r="I758" s="2">
        <f t="shared" si="46"/>
        <v>0</v>
      </c>
      <c r="J758" s="2">
        <f t="shared" si="47"/>
        <v>1.1577875</v>
      </c>
    </row>
    <row r="759" spans="1:10" x14ac:dyDescent="0.3">
      <c r="A759">
        <v>1000017676</v>
      </c>
      <c r="B759" s="1">
        <f>VLOOKUP(A759,[1]Sheet1!A:B,2,FALSE)</f>
        <v>40572</v>
      </c>
      <c r="C759" s="2">
        <v>0</v>
      </c>
      <c r="D759" s="2">
        <f>SUMIFS([1]Sheet1!D:D,[1]Sheet1!A:A,A759,[1]Sheet1!E:E,"Figurado")</f>
        <v>0</v>
      </c>
      <c r="E759" s="2">
        <f>SUMIFS([1]Sheet1!D:D,[1]Sheet1!A:A,A759,[1]Sheet1!E:E,"Mallas")</f>
        <v>1442.83</v>
      </c>
      <c r="F759" s="2">
        <f>SUMIFS([1]Sheet1!D:D,[1]Sheet1!A:A,A759,[1]Sheet1!E:E,"Materia Prima")</f>
        <v>0</v>
      </c>
      <c r="G759" s="2">
        <f t="shared" si="44"/>
        <v>1.8035375</v>
      </c>
      <c r="H759">
        <f t="shared" si="45"/>
        <v>1</v>
      </c>
      <c r="I759" s="2">
        <f t="shared" si="46"/>
        <v>0</v>
      </c>
      <c r="J759" s="2">
        <f t="shared" si="47"/>
        <v>1.8035375</v>
      </c>
    </row>
    <row r="760" spans="1:10" x14ac:dyDescent="0.3">
      <c r="A760">
        <v>1000017677</v>
      </c>
      <c r="B760" s="1">
        <f>VLOOKUP(A760,[1]Sheet1!A:B,2,FALSE)</f>
        <v>40572</v>
      </c>
      <c r="C760" s="2">
        <v>0</v>
      </c>
      <c r="D760" s="2">
        <f>SUMIFS([1]Sheet1!D:D,[1]Sheet1!A:A,A760,[1]Sheet1!E:E,"Figurado")</f>
        <v>0</v>
      </c>
      <c r="E760" s="2">
        <f>SUMIFS([1]Sheet1!D:D,[1]Sheet1!A:A,A760,[1]Sheet1!E:E,"Mallas")</f>
        <v>976.48</v>
      </c>
      <c r="F760" s="2">
        <f>SUMIFS([1]Sheet1!D:D,[1]Sheet1!A:A,A760,[1]Sheet1!E:E,"Materia Prima")</f>
        <v>0</v>
      </c>
      <c r="G760" s="2">
        <f t="shared" si="44"/>
        <v>1.2206000000000001</v>
      </c>
      <c r="H760">
        <f t="shared" si="45"/>
        <v>1</v>
      </c>
      <c r="I760" s="2">
        <f t="shared" si="46"/>
        <v>0</v>
      </c>
      <c r="J760" s="2">
        <f t="shared" si="47"/>
        <v>1.2206000000000001</v>
      </c>
    </row>
    <row r="761" spans="1:10" x14ac:dyDescent="0.3">
      <c r="A761">
        <v>1000017701</v>
      </c>
      <c r="B761" s="1">
        <f>VLOOKUP(A761,[1]Sheet1!A:B,2,FALSE)</f>
        <v>40574</v>
      </c>
      <c r="C761" s="2">
        <v>0</v>
      </c>
      <c r="D761" s="2">
        <f>SUMIFS([1]Sheet1!D:D,[1]Sheet1!A:A,A761,[1]Sheet1!E:E,"Figurado")</f>
        <v>0</v>
      </c>
      <c r="E761" s="2">
        <f>SUMIFS([1]Sheet1!D:D,[1]Sheet1!A:A,A761,[1]Sheet1!E:E,"Mallas")</f>
        <v>2008.6799999999998</v>
      </c>
      <c r="F761" s="2">
        <f>SUMIFS([1]Sheet1!D:D,[1]Sheet1!A:A,A761,[1]Sheet1!E:E,"Materia Prima")</f>
        <v>45.341999999999999</v>
      </c>
      <c r="G761" s="2">
        <f t="shared" si="44"/>
        <v>2.5108499999999996</v>
      </c>
      <c r="H761">
        <f t="shared" si="45"/>
        <v>2</v>
      </c>
      <c r="I761" s="2">
        <f t="shared" si="46"/>
        <v>0</v>
      </c>
      <c r="J761" s="2">
        <f t="shared" si="47"/>
        <v>2.5108499999999996</v>
      </c>
    </row>
    <row r="762" spans="1:10" x14ac:dyDescent="0.3">
      <c r="A762">
        <v>1000017702</v>
      </c>
      <c r="B762" s="1">
        <f>VLOOKUP(A762,[1]Sheet1!A:B,2,FALSE)</f>
        <v>40574</v>
      </c>
      <c r="C762" s="2">
        <v>0</v>
      </c>
      <c r="D762" s="2">
        <f>SUMIFS([1]Sheet1!D:D,[1]Sheet1!A:A,A762,[1]Sheet1!E:E,"Figurado")</f>
        <v>0</v>
      </c>
      <c r="E762" s="2">
        <f>SUMIFS([1]Sheet1!D:D,[1]Sheet1!A:A,A762,[1]Sheet1!E:E,"Mallas")</f>
        <v>0</v>
      </c>
      <c r="F762" s="2">
        <f>SUMIFS([1]Sheet1!D:D,[1]Sheet1!A:A,A762,[1]Sheet1!E:E,"Materia Prima")</f>
        <v>13.8825</v>
      </c>
      <c r="G762" s="2">
        <f t="shared" si="44"/>
        <v>0</v>
      </c>
      <c r="H762">
        <f t="shared" si="45"/>
        <v>1</v>
      </c>
      <c r="I762" s="2">
        <f t="shared" si="46"/>
        <v>0</v>
      </c>
      <c r="J762" s="2">
        <f t="shared" si="47"/>
        <v>0</v>
      </c>
    </row>
    <row r="763" spans="1:10" x14ac:dyDescent="0.3">
      <c r="A763">
        <v>1000017703</v>
      </c>
      <c r="B763" s="1">
        <f>VLOOKUP(A763,[1]Sheet1!A:B,2,FALSE)</f>
        <v>40574</v>
      </c>
      <c r="C763" s="2">
        <v>0</v>
      </c>
      <c r="D763" s="2">
        <f>SUMIFS([1]Sheet1!D:D,[1]Sheet1!A:A,A763,[1]Sheet1!E:E,"Figurado")</f>
        <v>0</v>
      </c>
      <c r="E763" s="2">
        <f>SUMIFS([1]Sheet1!D:D,[1]Sheet1!A:A,A763,[1]Sheet1!E:E,"Mallas")</f>
        <v>2008.6799999999998</v>
      </c>
      <c r="F763" s="2">
        <f>SUMIFS([1]Sheet1!D:D,[1]Sheet1!A:A,A763,[1]Sheet1!E:E,"Materia Prima")</f>
        <v>45.341999999999999</v>
      </c>
      <c r="G763" s="2">
        <f t="shared" si="44"/>
        <v>2.5108499999999996</v>
      </c>
      <c r="H763">
        <f t="shared" si="45"/>
        <v>2</v>
      </c>
      <c r="I763" s="2">
        <f t="shared" si="46"/>
        <v>0</v>
      </c>
      <c r="J763" s="2">
        <f t="shared" si="47"/>
        <v>2.5108499999999996</v>
      </c>
    </row>
    <row r="764" spans="1:10" x14ac:dyDescent="0.3">
      <c r="A764">
        <v>1000017706</v>
      </c>
      <c r="B764" s="1">
        <f>VLOOKUP(A764,[1]Sheet1!A:B,2,FALSE)</f>
        <v>40574</v>
      </c>
      <c r="C764" s="2">
        <v>0</v>
      </c>
      <c r="D764" s="2">
        <f>SUMIFS([1]Sheet1!D:D,[1]Sheet1!A:A,A764,[1]Sheet1!E:E,"Figurado")</f>
        <v>0</v>
      </c>
      <c r="E764" s="2">
        <f>SUMIFS([1]Sheet1!D:D,[1]Sheet1!A:A,A764,[1]Sheet1!E:E,"Mallas")</f>
        <v>7420</v>
      </c>
      <c r="F764" s="2">
        <f>SUMIFS([1]Sheet1!D:D,[1]Sheet1!A:A,A764,[1]Sheet1!E:E,"Materia Prima")</f>
        <v>0</v>
      </c>
      <c r="G764" s="2">
        <f t="shared" si="44"/>
        <v>9.2750000000000004</v>
      </c>
      <c r="H764">
        <f t="shared" si="45"/>
        <v>1</v>
      </c>
      <c r="I764" s="2">
        <f t="shared" si="46"/>
        <v>0</v>
      </c>
      <c r="J764" s="2">
        <f t="shared" si="47"/>
        <v>9.2750000000000004</v>
      </c>
    </row>
    <row r="765" spans="1:10" x14ac:dyDescent="0.3">
      <c r="A765">
        <v>1000017723</v>
      </c>
      <c r="B765" s="1">
        <f>VLOOKUP(A765,[1]Sheet1!A:B,2,FALSE)</f>
        <v>40574</v>
      </c>
      <c r="C765" s="2">
        <v>0</v>
      </c>
      <c r="D765" s="2">
        <f>SUMIFS([1]Sheet1!D:D,[1]Sheet1!A:A,A765,[1]Sheet1!E:E,"Figurado")</f>
        <v>0</v>
      </c>
      <c r="E765" s="2">
        <f>SUMIFS([1]Sheet1!D:D,[1]Sheet1!A:A,A765,[1]Sheet1!E:E,"Mallas")</f>
        <v>2100.17</v>
      </c>
      <c r="F765" s="2">
        <f>SUMIFS([1]Sheet1!D:D,[1]Sheet1!A:A,A765,[1]Sheet1!E:E,"Materia Prima")</f>
        <v>0</v>
      </c>
      <c r="G765" s="2">
        <f t="shared" si="44"/>
        <v>2.6252124999999999</v>
      </c>
      <c r="H765">
        <f t="shared" si="45"/>
        <v>1</v>
      </c>
      <c r="I765" s="2">
        <f t="shared" si="46"/>
        <v>0</v>
      </c>
      <c r="J765" s="2">
        <f t="shared" si="47"/>
        <v>2.6252124999999999</v>
      </c>
    </row>
    <row r="766" spans="1:10" x14ac:dyDescent="0.3">
      <c r="A766">
        <v>1000017724</v>
      </c>
      <c r="B766" s="1">
        <f>VLOOKUP(A766,[1]Sheet1!A:B,2,FALSE)</f>
        <v>40574</v>
      </c>
      <c r="C766" s="2">
        <v>0</v>
      </c>
      <c r="D766" s="2">
        <f>SUMIFS([1]Sheet1!D:D,[1]Sheet1!A:A,A766,[1]Sheet1!E:E,"Figurado")</f>
        <v>0</v>
      </c>
      <c r="E766" s="2">
        <f>SUMIFS([1]Sheet1!D:D,[1]Sheet1!A:A,A766,[1]Sheet1!E:E,"Mallas")</f>
        <v>2906.77</v>
      </c>
      <c r="F766" s="2">
        <f>SUMIFS([1]Sheet1!D:D,[1]Sheet1!A:A,A766,[1]Sheet1!E:E,"Materia Prima")</f>
        <v>0</v>
      </c>
      <c r="G766" s="2">
        <f t="shared" si="44"/>
        <v>3.6334624999999998</v>
      </c>
      <c r="H766">
        <f t="shared" si="45"/>
        <v>1</v>
      </c>
      <c r="I766" s="2">
        <f t="shared" si="46"/>
        <v>0</v>
      </c>
      <c r="J766" s="2">
        <f t="shared" si="47"/>
        <v>3.6334624999999998</v>
      </c>
    </row>
    <row r="767" spans="1:10" x14ac:dyDescent="0.3">
      <c r="A767">
        <v>1000017725</v>
      </c>
      <c r="B767" s="1">
        <f>VLOOKUP(A767,[1]Sheet1!A:B,2,FALSE)</f>
        <v>40574</v>
      </c>
      <c r="C767" s="2">
        <v>0</v>
      </c>
      <c r="D767" s="2">
        <f>SUMIFS([1]Sheet1!D:D,[1]Sheet1!A:A,A767,[1]Sheet1!E:E,"Figurado")</f>
        <v>0</v>
      </c>
      <c r="E767" s="2">
        <f>SUMIFS([1]Sheet1!D:D,[1]Sheet1!A:A,A767,[1]Sheet1!E:E,"Mallas")</f>
        <v>973.75</v>
      </c>
      <c r="F767" s="2">
        <f>SUMIFS([1]Sheet1!D:D,[1]Sheet1!A:A,A767,[1]Sheet1!E:E,"Materia Prima")</f>
        <v>155</v>
      </c>
      <c r="G767" s="2">
        <f t="shared" si="44"/>
        <v>1.2171875000000001</v>
      </c>
      <c r="H767">
        <f t="shared" si="45"/>
        <v>2</v>
      </c>
      <c r="I767" s="2">
        <f t="shared" si="46"/>
        <v>0</v>
      </c>
      <c r="J767" s="2">
        <f t="shared" si="47"/>
        <v>1.2171875000000001</v>
      </c>
    </row>
    <row r="768" spans="1:10" x14ac:dyDescent="0.3">
      <c r="A768">
        <v>1000017785</v>
      </c>
      <c r="B768" s="1">
        <f>VLOOKUP(A768,[1]Sheet1!A:B,2,FALSE)</f>
        <v>40574</v>
      </c>
      <c r="C768" s="2">
        <v>0</v>
      </c>
      <c r="D768" s="2">
        <f>SUMIFS([1]Sheet1!D:D,[1]Sheet1!A:A,A768,[1]Sheet1!E:E,"Figurado")</f>
        <v>0</v>
      </c>
      <c r="E768" s="2">
        <f>SUMIFS([1]Sheet1!D:D,[1]Sheet1!A:A,A768,[1]Sheet1!E:E,"Mallas")</f>
        <v>0</v>
      </c>
      <c r="F768" s="2">
        <f>SUMIFS([1]Sheet1!D:D,[1]Sheet1!A:A,A768,[1]Sheet1!E:E,"Materia Prima")</f>
        <v>35160</v>
      </c>
      <c r="G768" s="2">
        <f t="shared" si="44"/>
        <v>0</v>
      </c>
      <c r="H768">
        <f t="shared" si="45"/>
        <v>1</v>
      </c>
      <c r="I768" s="2">
        <f t="shared" si="46"/>
        <v>0</v>
      </c>
      <c r="J768" s="2">
        <f t="shared" si="47"/>
        <v>0</v>
      </c>
    </row>
    <row r="769" spans="1:10" x14ac:dyDescent="0.3">
      <c r="A769">
        <v>1000017360</v>
      </c>
      <c r="B769" s="1">
        <f>VLOOKUP(A769,[1]Sheet1!A:B,2,FALSE)</f>
        <v>40562</v>
      </c>
      <c r="C769" s="2">
        <v>0</v>
      </c>
      <c r="D769" s="2">
        <f>SUMIFS([1]Sheet1!D:D,[1]Sheet1!A:A,A769,[1]Sheet1!E:E,"Figurado")</f>
        <v>0</v>
      </c>
      <c r="E769" s="2">
        <f>SUMIFS([1]Sheet1!D:D,[1]Sheet1!A:A,A769,[1]Sheet1!E:E,"Mallas")</f>
        <v>7524</v>
      </c>
      <c r="F769" s="2">
        <f>SUMIFS([1]Sheet1!D:D,[1]Sheet1!A:A,A769,[1]Sheet1!E:E,"Materia Prima")</f>
        <v>0</v>
      </c>
      <c r="G769" s="2">
        <f t="shared" si="44"/>
        <v>9.4049999999999994</v>
      </c>
      <c r="H769">
        <f t="shared" si="45"/>
        <v>1</v>
      </c>
      <c r="I769" s="2">
        <f t="shared" si="46"/>
        <v>0</v>
      </c>
      <c r="J769" s="2">
        <f t="shared" si="47"/>
        <v>9.4049999999999994</v>
      </c>
    </row>
    <row r="770" spans="1:10" x14ac:dyDescent="0.3">
      <c r="A770">
        <v>1000017367</v>
      </c>
      <c r="B770" s="1">
        <f>VLOOKUP(A770,[1]Sheet1!A:B,2,FALSE)</f>
        <v>40563</v>
      </c>
      <c r="C770" s="2">
        <v>0</v>
      </c>
      <c r="D770" s="2">
        <f>SUMIFS([1]Sheet1!D:D,[1]Sheet1!A:A,A770,[1]Sheet1!E:E,"Figurado")</f>
        <v>0</v>
      </c>
      <c r="E770" s="2">
        <f>SUMIFS([1]Sheet1!D:D,[1]Sheet1!A:A,A770,[1]Sheet1!E:E,"Mallas")</f>
        <v>0</v>
      </c>
      <c r="F770" s="2">
        <f>SUMIFS([1]Sheet1!D:D,[1]Sheet1!A:A,A770,[1]Sheet1!E:E,"Materia Prima")</f>
        <v>201.416</v>
      </c>
      <c r="G770" s="2">
        <f t="shared" si="44"/>
        <v>0</v>
      </c>
      <c r="H770">
        <f t="shared" si="45"/>
        <v>1</v>
      </c>
      <c r="I770" s="2">
        <f t="shared" si="46"/>
        <v>0</v>
      </c>
      <c r="J770" s="2">
        <f t="shared" si="47"/>
        <v>0</v>
      </c>
    </row>
    <row r="771" spans="1:10" x14ac:dyDescent="0.3">
      <c r="A771">
        <v>1000017498</v>
      </c>
      <c r="B771" s="1">
        <f>VLOOKUP(A771,[1]Sheet1!A:B,2,FALSE)</f>
        <v>40568</v>
      </c>
      <c r="C771" s="2">
        <v>0</v>
      </c>
      <c r="D771" s="2">
        <f>SUMIFS([1]Sheet1!D:D,[1]Sheet1!A:A,A771,[1]Sheet1!E:E,"Figurado")</f>
        <v>1182.9000000000001</v>
      </c>
      <c r="E771" s="2">
        <f>SUMIFS([1]Sheet1!D:D,[1]Sheet1!A:A,A771,[1]Sheet1!E:E,"Mallas")</f>
        <v>0</v>
      </c>
      <c r="F771" s="2">
        <f>SUMIFS([1]Sheet1!D:D,[1]Sheet1!A:A,A771,[1]Sheet1!E:E,"Materia Prima")</f>
        <v>0</v>
      </c>
      <c r="G771" s="2">
        <f t="shared" ref="G771:G834" si="48">(D771/2600)+(E771/800)</f>
        <v>0.45496153846153847</v>
      </c>
      <c r="H771">
        <f t="shared" ref="H771:H834" si="49">(IF(D771&gt;0,1,0) + IF(E771&gt;0,1,0) + IF(F771&gt;0,1,0))</f>
        <v>1</v>
      </c>
      <c r="I771" s="2">
        <f t="shared" ref="I771:I834" si="50">D771/2600</f>
        <v>0.45496153846153847</v>
      </c>
      <c r="J771" s="2">
        <f t="shared" ref="J771:J834" si="51">E771/800</f>
        <v>0</v>
      </c>
    </row>
    <row r="772" spans="1:10" x14ac:dyDescent="0.3">
      <c r="A772">
        <v>1000017704</v>
      </c>
      <c r="B772" s="1">
        <f>VLOOKUP(A772,[1]Sheet1!A:B,2,FALSE)</f>
        <v>40574</v>
      </c>
      <c r="C772" s="2">
        <v>0</v>
      </c>
      <c r="D772" s="2">
        <f>SUMIFS([1]Sheet1!D:D,[1]Sheet1!A:A,A772,[1]Sheet1!E:E,"Figurado")</f>
        <v>0</v>
      </c>
      <c r="E772" s="2">
        <f>SUMIFS([1]Sheet1!D:D,[1]Sheet1!A:A,A772,[1]Sheet1!E:E,"Mallas")</f>
        <v>1222.6400000000001</v>
      </c>
      <c r="F772" s="2">
        <f>SUMIFS([1]Sheet1!D:D,[1]Sheet1!A:A,A772,[1]Sheet1!E:E,"Materia Prima")</f>
        <v>0</v>
      </c>
      <c r="G772" s="2">
        <f t="shared" si="48"/>
        <v>1.5283000000000002</v>
      </c>
      <c r="H772">
        <f t="shared" si="49"/>
        <v>1</v>
      </c>
      <c r="I772" s="2">
        <f t="shared" si="50"/>
        <v>0</v>
      </c>
      <c r="J772" s="2">
        <f t="shared" si="51"/>
        <v>1.5283000000000002</v>
      </c>
    </row>
    <row r="773" spans="1:10" x14ac:dyDescent="0.3">
      <c r="A773">
        <v>1000017708</v>
      </c>
      <c r="B773" s="1">
        <f>VLOOKUP(A773,[1]Sheet1!A:B,2,FALSE)</f>
        <v>40574</v>
      </c>
      <c r="C773" s="2">
        <v>0</v>
      </c>
      <c r="D773" s="2">
        <f>SUMIFS([1]Sheet1!D:D,[1]Sheet1!A:A,A773,[1]Sheet1!E:E,"Figurado")</f>
        <v>0</v>
      </c>
      <c r="E773" s="2">
        <f>SUMIFS([1]Sheet1!D:D,[1]Sheet1!A:A,A773,[1]Sheet1!E:E,"Mallas")</f>
        <v>0</v>
      </c>
      <c r="F773" s="2">
        <f>SUMIFS([1]Sheet1!D:D,[1]Sheet1!A:A,A773,[1]Sheet1!E:E,"Materia Prima")</f>
        <v>150</v>
      </c>
      <c r="G773" s="2">
        <f t="shared" si="48"/>
        <v>0</v>
      </c>
      <c r="H773">
        <f t="shared" si="49"/>
        <v>1</v>
      </c>
      <c r="I773" s="2">
        <f t="shared" si="50"/>
        <v>0</v>
      </c>
      <c r="J773" s="2">
        <f t="shared" si="51"/>
        <v>0</v>
      </c>
    </row>
    <row r="774" spans="1:10" x14ac:dyDescent="0.3">
      <c r="A774">
        <v>1000017726</v>
      </c>
      <c r="B774" s="1">
        <f>VLOOKUP(A774,[1]Sheet1!A:B,2,FALSE)</f>
        <v>40574</v>
      </c>
      <c r="C774" s="2">
        <v>0</v>
      </c>
      <c r="D774" s="2">
        <f>SUMIFS([1]Sheet1!D:D,[1]Sheet1!A:A,A774,[1]Sheet1!E:E,"Figurado")</f>
        <v>0</v>
      </c>
      <c r="E774" s="2">
        <f>SUMIFS([1]Sheet1!D:D,[1]Sheet1!A:A,A774,[1]Sheet1!E:E,"Mallas")</f>
        <v>197.6</v>
      </c>
      <c r="F774" s="2">
        <f>SUMIFS([1]Sheet1!D:D,[1]Sheet1!A:A,A774,[1]Sheet1!E:E,"Materia Prima")</f>
        <v>0</v>
      </c>
      <c r="G774" s="2">
        <f t="shared" si="48"/>
        <v>0.247</v>
      </c>
      <c r="H774">
        <f t="shared" si="49"/>
        <v>1</v>
      </c>
      <c r="I774" s="2">
        <f t="shared" si="50"/>
        <v>0</v>
      </c>
      <c r="J774" s="2">
        <f t="shared" si="51"/>
        <v>0.247</v>
      </c>
    </row>
    <row r="775" spans="1:10" x14ac:dyDescent="0.3">
      <c r="A775">
        <v>1000017727</v>
      </c>
      <c r="B775" s="1">
        <f>VLOOKUP(A775,[1]Sheet1!A:B,2,FALSE)</f>
        <v>40574</v>
      </c>
      <c r="C775" s="2">
        <v>0</v>
      </c>
      <c r="D775" s="2">
        <f>SUMIFS([1]Sheet1!D:D,[1]Sheet1!A:A,A775,[1]Sheet1!E:E,"Figurado")</f>
        <v>0</v>
      </c>
      <c r="E775" s="2">
        <f>SUMIFS([1]Sheet1!D:D,[1]Sheet1!A:A,A775,[1]Sheet1!E:E,"Mallas")</f>
        <v>1827.8</v>
      </c>
      <c r="F775" s="2">
        <f>SUMIFS([1]Sheet1!D:D,[1]Sheet1!A:A,A775,[1]Sheet1!E:E,"Materia Prima")</f>
        <v>0</v>
      </c>
      <c r="G775" s="2">
        <f t="shared" si="48"/>
        <v>2.2847499999999998</v>
      </c>
      <c r="H775">
        <f t="shared" si="49"/>
        <v>1</v>
      </c>
      <c r="I775" s="2">
        <f t="shared" si="50"/>
        <v>0</v>
      </c>
      <c r="J775" s="2">
        <f t="shared" si="51"/>
        <v>2.2847499999999998</v>
      </c>
    </row>
    <row r="776" spans="1:10" x14ac:dyDescent="0.3">
      <c r="A776">
        <v>1000017728</v>
      </c>
      <c r="B776" s="1">
        <f>VLOOKUP(A776,[1]Sheet1!A:B,2,FALSE)</f>
        <v>40574</v>
      </c>
      <c r="C776" s="2">
        <v>0</v>
      </c>
      <c r="D776" s="2">
        <f>SUMIFS([1]Sheet1!D:D,[1]Sheet1!A:A,A776,[1]Sheet1!E:E,"Figurado")</f>
        <v>0</v>
      </c>
      <c r="E776" s="2">
        <f>SUMIFS([1]Sheet1!D:D,[1]Sheet1!A:A,A776,[1]Sheet1!E:E,"Mallas")</f>
        <v>1827.8</v>
      </c>
      <c r="F776" s="2">
        <f>SUMIFS([1]Sheet1!D:D,[1]Sheet1!A:A,A776,[1]Sheet1!E:E,"Materia Prima")</f>
        <v>0</v>
      </c>
      <c r="G776" s="2">
        <f t="shared" si="48"/>
        <v>2.2847499999999998</v>
      </c>
      <c r="H776">
        <f t="shared" si="49"/>
        <v>1</v>
      </c>
      <c r="I776" s="2">
        <f t="shared" si="50"/>
        <v>0</v>
      </c>
      <c r="J776" s="2">
        <f t="shared" si="51"/>
        <v>2.2847499999999998</v>
      </c>
    </row>
    <row r="777" spans="1:10" x14ac:dyDescent="0.3">
      <c r="A777">
        <v>1000017729</v>
      </c>
      <c r="B777" s="1">
        <f>VLOOKUP(A777,[1]Sheet1!A:B,2,FALSE)</f>
        <v>40574</v>
      </c>
      <c r="C777" s="2">
        <v>0</v>
      </c>
      <c r="D777" s="2">
        <f>SUMIFS([1]Sheet1!D:D,[1]Sheet1!A:A,A777,[1]Sheet1!E:E,"Figurado")</f>
        <v>0</v>
      </c>
      <c r="E777" s="2">
        <f>SUMIFS([1]Sheet1!D:D,[1]Sheet1!A:A,A777,[1]Sheet1!E:E,"Mallas")</f>
        <v>1729</v>
      </c>
      <c r="F777" s="2">
        <f>SUMIFS([1]Sheet1!D:D,[1]Sheet1!A:A,A777,[1]Sheet1!E:E,"Materia Prima")</f>
        <v>0</v>
      </c>
      <c r="G777" s="2">
        <f t="shared" si="48"/>
        <v>2.1612499999999999</v>
      </c>
      <c r="H777">
        <f t="shared" si="49"/>
        <v>1</v>
      </c>
      <c r="I777" s="2">
        <f t="shared" si="50"/>
        <v>0</v>
      </c>
      <c r="J777" s="2">
        <f t="shared" si="51"/>
        <v>2.1612499999999999</v>
      </c>
    </row>
    <row r="778" spans="1:10" x14ac:dyDescent="0.3">
      <c r="A778">
        <v>1000017730</v>
      </c>
      <c r="B778" s="1">
        <f>VLOOKUP(A778,[1]Sheet1!A:B,2,FALSE)</f>
        <v>40574</v>
      </c>
      <c r="C778" s="2">
        <v>0</v>
      </c>
      <c r="D778" s="2">
        <f>SUMIFS([1]Sheet1!D:D,[1]Sheet1!A:A,A778,[1]Sheet1!E:E,"Figurado")</f>
        <v>0</v>
      </c>
      <c r="E778" s="2">
        <f>SUMIFS([1]Sheet1!D:D,[1]Sheet1!A:A,A778,[1]Sheet1!E:E,"Mallas")</f>
        <v>1827.8</v>
      </c>
      <c r="F778" s="2">
        <f>SUMIFS([1]Sheet1!D:D,[1]Sheet1!A:A,A778,[1]Sheet1!E:E,"Materia Prima")</f>
        <v>0</v>
      </c>
      <c r="G778" s="2">
        <f t="shared" si="48"/>
        <v>2.2847499999999998</v>
      </c>
      <c r="H778">
        <f t="shared" si="49"/>
        <v>1</v>
      </c>
      <c r="I778" s="2">
        <f t="shared" si="50"/>
        <v>0</v>
      </c>
      <c r="J778" s="2">
        <f t="shared" si="51"/>
        <v>2.2847499999999998</v>
      </c>
    </row>
    <row r="779" spans="1:10" x14ac:dyDescent="0.3">
      <c r="A779">
        <v>1000017731</v>
      </c>
      <c r="B779" s="1">
        <f>VLOOKUP(A779,[1]Sheet1!A:B,2,FALSE)</f>
        <v>40574</v>
      </c>
      <c r="C779" s="2">
        <v>0</v>
      </c>
      <c r="D779" s="2">
        <f>SUMIFS([1]Sheet1!D:D,[1]Sheet1!A:A,A779,[1]Sheet1!E:E,"Figurado")</f>
        <v>0</v>
      </c>
      <c r="E779" s="2">
        <f>SUMIFS([1]Sheet1!D:D,[1]Sheet1!A:A,A779,[1]Sheet1!E:E,"Mallas")</f>
        <v>1827.8</v>
      </c>
      <c r="F779" s="2">
        <f>SUMIFS([1]Sheet1!D:D,[1]Sheet1!A:A,A779,[1]Sheet1!E:E,"Materia Prima")</f>
        <v>0</v>
      </c>
      <c r="G779" s="2">
        <f t="shared" si="48"/>
        <v>2.2847499999999998</v>
      </c>
      <c r="H779">
        <f t="shared" si="49"/>
        <v>1</v>
      </c>
      <c r="I779" s="2">
        <f t="shared" si="50"/>
        <v>0</v>
      </c>
      <c r="J779" s="2">
        <f t="shared" si="51"/>
        <v>2.2847499999999998</v>
      </c>
    </row>
    <row r="780" spans="1:10" x14ac:dyDescent="0.3">
      <c r="A780">
        <v>1000017739</v>
      </c>
      <c r="B780" s="1">
        <f>VLOOKUP(A780,[1]Sheet1!A:B,2,FALSE)</f>
        <v>40575</v>
      </c>
      <c r="C780" s="2">
        <v>0</v>
      </c>
      <c r="D780" s="2">
        <f>SUMIFS([1]Sheet1!D:D,[1]Sheet1!A:A,A780,[1]Sheet1!E:E,"Figurado")</f>
        <v>4668.6000000000004</v>
      </c>
      <c r="E780" s="2">
        <f>SUMIFS([1]Sheet1!D:D,[1]Sheet1!A:A,A780,[1]Sheet1!E:E,"Mallas")</f>
        <v>0</v>
      </c>
      <c r="F780" s="2">
        <f>SUMIFS([1]Sheet1!D:D,[1]Sheet1!A:A,A780,[1]Sheet1!E:E,"Materia Prima")</f>
        <v>0</v>
      </c>
      <c r="G780" s="2">
        <f t="shared" si="48"/>
        <v>1.7956153846153848</v>
      </c>
      <c r="H780">
        <f t="shared" si="49"/>
        <v>1</v>
      </c>
      <c r="I780" s="2">
        <f t="shared" si="50"/>
        <v>1.7956153846153848</v>
      </c>
      <c r="J780" s="2">
        <f t="shared" si="51"/>
        <v>0</v>
      </c>
    </row>
    <row r="781" spans="1:10" x14ac:dyDescent="0.3">
      <c r="A781">
        <v>1000017754</v>
      </c>
      <c r="B781" s="1">
        <f>VLOOKUP(A781,[1]Sheet1!A:B,2,FALSE)</f>
        <v>40576</v>
      </c>
      <c r="C781" s="2">
        <v>0</v>
      </c>
      <c r="D781" s="2">
        <f>SUMIFS([1]Sheet1!D:D,[1]Sheet1!A:A,A781,[1]Sheet1!E:E,"Figurado")</f>
        <v>0</v>
      </c>
      <c r="E781" s="2">
        <f>SUMIFS([1]Sheet1!D:D,[1]Sheet1!A:A,A781,[1]Sheet1!E:E,"Mallas")</f>
        <v>0</v>
      </c>
      <c r="F781" s="2">
        <f>SUMIFS([1]Sheet1!D:D,[1]Sheet1!A:A,A781,[1]Sheet1!E:E,"Materia Prima")</f>
        <v>188</v>
      </c>
      <c r="G781" s="2">
        <f t="shared" si="48"/>
        <v>0</v>
      </c>
      <c r="H781">
        <f t="shared" si="49"/>
        <v>1</v>
      </c>
      <c r="I781" s="2">
        <f t="shared" si="50"/>
        <v>0</v>
      </c>
      <c r="J781" s="2">
        <f t="shared" si="51"/>
        <v>0</v>
      </c>
    </row>
    <row r="782" spans="1:10" x14ac:dyDescent="0.3">
      <c r="A782">
        <v>1000017755</v>
      </c>
      <c r="B782" s="1">
        <f>VLOOKUP(A782,[1]Sheet1!A:B,2,FALSE)</f>
        <v>40576</v>
      </c>
      <c r="C782" s="2">
        <v>0</v>
      </c>
      <c r="D782" s="2">
        <f>SUMIFS([1]Sheet1!D:D,[1]Sheet1!A:A,A782,[1]Sheet1!E:E,"Figurado")</f>
        <v>0</v>
      </c>
      <c r="E782" s="2">
        <f>SUMIFS([1]Sheet1!D:D,[1]Sheet1!A:A,A782,[1]Sheet1!E:E,"Mallas")</f>
        <v>3787.08</v>
      </c>
      <c r="F782" s="2">
        <f>SUMIFS([1]Sheet1!D:D,[1]Sheet1!A:A,A782,[1]Sheet1!E:E,"Materia Prima")</f>
        <v>0</v>
      </c>
      <c r="G782" s="2">
        <f t="shared" si="48"/>
        <v>4.7338500000000003</v>
      </c>
      <c r="H782">
        <f t="shared" si="49"/>
        <v>1</v>
      </c>
      <c r="I782" s="2">
        <f t="shared" si="50"/>
        <v>0</v>
      </c>
      <c r="J782" s="2">
        <f t="shared" si="51"/>
        <v>4.7338500000000003</v>
      </c>
    </row>
    <row r="783" spans="1:10" x14ac:dyDescent="0.3">
      <c r="A783">
        <v>1000017756</v>
      </c>
      <c r="B783" s="1">
        <f>VLOOKUP(A783,[1]Sheet1!A:B,2,FALSE)</f>
        <v>40576</v>
      </c>
      <c r="C783" s="2">
        <v>0</v>
      </c>
      <c r="D783" s="2">
        <f>SUMIFS([1]Sheet1!D:D,[1]Sheet1!A:A,A783,[1]Sheet1!E:E,"Figurado")</f>
        <v>0</v>
      </c>
      <c r="E783" s="2">
        <f>SUMIFS([1]Sheet1!D:D,[1]Sheet1!A:A,A783,[1]Sheet1!E:E,"Mallas")</f>
        <v>3787.08</v>
      </c>
      <c r="F783" s="2">
        <f>SUMIFS([1]Sheet1!D:D,[1]Sheet1!A:A,A783,[1]Sheet1!E:E,"Materia Prima")</f>
        <v>0</v>
      </c>
      <c r="G783" s="2">
        <f t="shared" si="48"/>
        <v>4.7338500000000003</v>
      </c>
      <c r="H783">
        <f t="shared" si="49"/>
        <v>1</v>
      </c>
      <c r="I783" s="2">
        <f t="shared" si="50"/>
        <v>0</v>
      </c>
      <c r="J783" s="2">
        <f t="shared" si="51"/>
        <v>4.7338500000000003</v>
      </c>
    </row>
    <row r="784" spans="1:10" x14ac:dyDescent="0.3">
      <c r="A784">
        <v>1000017757</v>
      </c>
      <c r="B784" s="1">
        <f>VLOOKUP(A784,[1]Sheet1!A:B,2,FALSE)</f>
        <v>40576</v>
      </c>
      <c r="C784" s="2">
        <v>0</v>
      </c>
      <c r="D784" s="2">
        <f>SUMIFS([1]Sheet1!D:D,[1]Sheet1!A:A,A784,[1]Sheet1!E:E,"Figurado")</f>
        <v>0</v>
      </c>
      <c r="E784" s="2">
        <f>SUMIFS([1]Sheet1!D:D,[1]Sheet1!A:A,A784,[1]Sheet1!E:E,"Mallas")</f>
        <v>3787.08</v>
      </c>
      <c r="F784" s="2">
        <f>SUMIFS([1]Sheet1!D:D,[1]Sheet1!A:A,A784,[1]Sheet1!E:E,"Materia Prima")</f>
        <v>0</v>
      </c>
      <c r="G784" s="2">
        <f t="shared" si="48"/>
        <v>4.7338500000000003</v>
      </c>
      <c r="H784">
        <f t="shared" si="49"/>
        <v>1</v>
      </c>
      <c r="I784" s="2">
        <f t="shared" si="50"/>
        <v>0</v>
      </c>
      <c r="J784" s="2">
        <f t="shared" si="51"/>
        <v>4.7338500000000003</v>
      </c>
    </row>
    <row r="785" spans="1:10" x14ac:dyDescent="0.3">
      <c r="A785">
        <v>1000017758</v>
      </c>
      <c r="B785" s="1">
        <f>VLOOKUP(A785,[1]Sheet1!A:B,2,FALSE)</f>
        <v>40576</v>
      </c>
      <c r="C785" s="2">
        <v>0</v>
      </c>
      <c r="D785" s="2">
        <f>SUMIFS([1]Sheet1!D:D,[1]Sheet1!A:A,A785,[1]Sheet1!E:E,"Figurado")</f>
        <v>0</v>
      </c>
      <c r="E785" s="2">
        <f>SUMIFS([1]Sheet1!D:D,[1]Sheet1!A:A,A785,[1]Sheet1!E:E,"Mallas")</f>
        <v>1508.1</v>
      </c>
      <c r="F785" s="2">
        <f>SUMIFS([1]Sheet1!D:D,[1]Sheet1!A:A,A785,[1]Sheet1!E:E,"Materia Prima")</f>
        <v>0</v>
      </c>
      <c r="G785" s="2">
        <f t="shared" si="48"/>
        <v>1.8851249999999999</v>
      </c>
      <c r="H785">
        <f t="shared" si="49"/>
        <v>1</v>
      </c>
      <c r="I785" s="2">
        <f t="shared" si="50"/>
        <v>0</v>
      </c>
      <c r="J785" s="2">
        <f t="shared" si="51"/>
        <v>1.8851249999999999</v>
      </c>
    </row>
    <row r="786" spans="1:10" x14ac:dyDescent="0.3">
      <c r="A786">
        <v>1000017759</v>
      </c>
      <c r="B786" s="1">
        <f>VLOOKUP(A786,[1]Sheet1!A:B,2,FALSE)</f>
        <v>40576</v>
      </c>
      <c r="C786" s="2">
        <v>0</v>
      </c>
      <c r="D786" s="2">
        <f>SUMIFS([1]Sheet1!D:D,[1]Sheet1!A:A,A786,[1]Sheet1!E:E,"Figurado")</f>
        <v>0</v>
      </c>
      <c r="E786" s="2">
        <f>SUMIFS([1]Sheet1!D:D,[1]Sheet1!A:A,A786,[1]Sheet1!E:E,"Mallas")</f>
        <v>1818.6</v>
      </c>
      <c r="F786" s="2">
        <f>SUMIFS([1]Sheet1!D:D,[1]Sheet1!A:A,A786,[1]Sheet1!E:E,"Materia Prima")</f>
        <v>0</v>
      </c>
      <c r="G786" s="2">
        <f t="shared" si="48"/>
        <v>2.27325</v>
      </c>
      <c r="H786">
        <f t="shared" si="49"/>
        <v>1</v>
      </c>
      <c r="I786" s="2">
        <f t="shared" si="50"/>
        <v>0</v>
      </c>
      <c r="J786" s="2">
        <f t="shared" si="51"/>
        <v>2.27325</v>
      </c>
    </row>
    <row r="787" spans="1:10" x14ac:dyDescent="0.3">
      <c r="A787">
        <v>1000017760</v>
      </c>
      <c r="B787" s="1">
        <f>VLOOKUP(A787,[1]Sheet1!A:B,2,FALSE)</f>
        <v>40576</v>
      </c>
      <c r="C787" s="2">
        <v>0</v>
      </c>
      <c r="D787" s="2">
        <f>SUMIFS([1]Sheet1!D:D,[1]Sheet1!A:A,A787,[1]Sheet1!E:E,"Figurado")</f>
        <v>0</v>
      </c>
      <c r="E787" s="2">
        <f>SUMIFS([1]Sheet1!D:D,[1]Sheet1!A:A,A787,[1]Sheet1!E:E,"Mallas")</f>
        <v>3435</v>
      </c>
      <c r="F787" s="2">
        <f>SUMIFS([1]Sheet1!D:D,[1]Sheet1!A:A,A787,[1]Sheet1!E:E,"Materia Prima")</f>
        <v>0</v>
      </c>
      <c r="G787" s="2">
        <f t="shared" si="48"/>
        <v>4.2937500000000002</v>
      </c>
      <c r="H787">
        <f t="shared" si="49"/>
        <v>1</v>
      </c>
      <c r="I787" s="2">
        <f t="shared" si="50"/>
        <v>0</v>
      </c>
      <c r="J787" s="2">
        <f t="shared" si="51"/>
        <v>4.2937500000000002</v>
      </c>
    </row>
    <row r="788" spans="1:10" x14ac:dyDescent="0.3">
      <c r="A788">
        <v>1000017761</v>
      </c>
      <c r="B788" s="1">
        <f>VLOOKUP(A788,[1]Sheet1!A:B,2,FALSE)</f>
        <v>40576</v>
      </c>
      <c r="C788" s="2">
        <v>0</v>
      </c>
      <c r="D788" s="2">
        <f>SUMIFS([1]Sheet1!D:D,[1]Sheet1!A:A,A788,[1]Sheet1!E:E,"Figurado")</f>
        <v>0</v>
      </c>
      <c r="E788" s="2">
        <f>SUMIFS([1]Sheet1!D:D,[1]Sheet1!A:A,A788,[1]Sheet1!E:E,"Mallas")</f>
        <v>2460.31</v>
      </c>
      <c r="F788" s="2">
        <f>SUMIFS([1]Sheet1!D:D,[1]Sheet1!A:A,A788,[1]Sheet1!E:E,"Materia Prima")</f>
        <v>0</v>
      </c>
      <c r="G788" s="2">
        <f t="shared" si="48"/>
        <v>3.0753874999999997</v>
      </c>
      <c r="H788">
        <f t="shared" si="49"/>
        <v>1</v>
      </c>
      <c r="I788" s="2">
        <f t="shared" si="50"/>
        <v>0</v>
      </c>
      <c r="J788" s="2">
        <f t="shared" si="51"/>
        <v>3.0753874999999997</v>
      </c>
    </row>
    <row r="789" spans="1:10" x14ac:dyDescent="0.3">
      <c r="A789">
        <v>1000017762</v>
      </c>
      <c r="B789" s="1">
        <f>VLOOKUP(A789,[1]Sheet1!A:B,2,FALSE)</f>
        <v>40576</v>
      </c>
      <c r="C789" s="2">
        <v>0</v>
      </c>
      <c r="D789" s="2">
        <f>SUMIFS([1]Sheet1!D:D,[1]Sheet1!A:A,A789,[1]Sheet1!E:E,"Figurado")</f>
        <v>5220.8999999999996</v>
      </c>
      <c r="E789" s="2">
        <f>SUMIFS([1]Sheet1!D:D,[1]Sheet1!A:A,A789,[1]Sheet1!E:E,"Mallas")</f>
        <v>0</v>
      </c>
      <c r="F789" s="2">
        <f>SUMIFS([1]Sheet1!D:D,[1]Sheet1!A:A,A789,[1]Sheet1!E:E,"Materia Prima")</f>
        <v>121</v>
      </c>
      <c r="G789" s="2">
        <f t="shared" si="48"/>
        <v>2.0080384615384612</v>
      </c>
      <c r="H789">
        <f t="shared" si="49"/>
        <v>2</v>
      </c>
      <c r="I789" s="2">
        <f t="shared" si="50"/>
        <v>2.0080384615384612</v>
      </c>
      <c r="J789" s="2">
        <f t="shared" si="51"/>
        <v>0</v>
      </c>
    </row>
    <row r="790" spans="1:10" x14ac:dyDescent="0.3">
      <c r="A790">
        <v>1000017763</v>
      </c>
      <c r="B790" s="1">
        <f>VLOOKUP(A790,[1]Sheet1!A:B,2,FALSE)</f>
        <v>40576</v>
      </c>
      <c r="C790" s="2">
        <v>0</v>
      </c>
      <c r="D790" s="2">
        <f>SUMIFS([1]Sheet1!D:D,[1]Sheet1!A:A,A790,[1]Sheet1!E:E,"Figurado")</f>
        <v>0</v>
      </c>
      <c r="E790" s="2">
        <f>SUMIFS([1]Sheet1!D:D,[1]Sheet1!A:A,A790,[1]Sheet1!E:E,"Mallas")</f>
        <v>714.78</v>
      </c>
      <c r="F790" s="2">
        <f>SUMIFS([1]Sheet1!D:D,[1]Sheet1!A:A,A790,[1]Sheet1!E:E,"Materia Prima")</f>
        <v>101</v>
      </c>
      <c r="G790" s="2">
        <f t="shared" si="48"/>
        <v>0.89347500000000002</v>
      </c>
      <c r="H790">
        <f t="shared" si="49"/>
        <v>2</v>
      </c>
      <c r="I790" s="2">
        <f t="shared" si="50"/>
        <v>0</v>
      </c>
      <c r="J790" s="2">
        <f t="shared" si="51"/>
        <v>0.89347500000000002</v>
      </c>
    </row>
    <row r="791" spans="1:10" x14ac:dyDescent="0.3">
      <c r="A791">
        <v>1000017764</v>
      </c>
      <c r="B791" s="1">
        <f>VLOOKUP(A791,[1]Sheet1!A:B,2,FALSE)</f>
        <v>40576</v>
      </c>
      <c r="C791" s="2">
        <v>0</v>
      </c>
      <c r="D791" s="2">
        <f>SUMIFS([1]Sheet1!D:D,[1]Sheet1!A:A,A791,[1]Sheet1!E:E,"Figurado")</f>
        <v>0</v>
      </c>
      <c r="E791" s="2">
        <f>SUMIFS([1]Sheet1!D:D,[1]Sheet1!A:A,A791,[1]Sheet1!E:E,"Mallas")</f>
        <v>1729.38</v>
      </c>
      <c r="F791" s="2">
        <f>SUMIFS([1]Sheet1!D:D,[1]Sheet1!A:A,A791,[1]Sheet1!E:E,"Materia Prima")</f>
        <v>0</v>
      </c>
      <c r="G791" s="2">
        <f t="shared" si="48"/>
        <v>2.1617250000000001</v>
      </c>
      <c r="H791">
        <f t="shared" si="49"/>
        <v>1</v>
      </c>
      <c r="I791" s="2">
        <f t="shared" si="50"/>
        <v>0</v>
      </c>
      <c r="J791" s="2">
        <f t="shared" si="51"/>
        <v>2.1617250000000001</v>
      </c>
    </row>
    <row r="792" spans="1:10" x14ac:dyDescent="0.3">
      <c r="A792">
        <v>1000017765</v>
      </c>
      <c r="B792" s="1">
        <f>VLOOKUP(A792,[1]Sheet1!A:B,2,FALSE)</f>
        <v>40576</v>
      </c>
      <c r="C792" s="2">
        <v>0</v>
      </c>
      <c r="D792" s="2">
        <f>SUMIFS([1]Sheet1!D:D,[1]Sheet1!A:A,A792,[1]Sheet1!E:E,"Figurado")</f>
        <v>2370</v>
      </c>
      <c r="E792" s="2">
        <f>SUMIFS([1]Sheet1!D:D,[1]Sheet1!A:A,A792,[1]Sheet1!E:E,"Mallas")</f>
        <v>0</v>
      </c>
      <c r="F792" s="2">
        <f>SUMIFS([1]Sheet1!D:D,[1]Sheet1!A:A,A792,[1]Sheet1!E:E,"Materia Prima")</f>
        <v>0</v>
      </c>
      <c r="G792" s="2">
        <f t="shared" si="48"/>
        <v>0.91153846153846152</v>
      </c>
      <c r="H792">
        <f t="shared" si="49"/>
        <v>1</v>
      </c>
      <c r="I792" s="2">
        <f t="shared" si="50"/>
        <v>0.91153846153846152</v>
      </c>
      <c r="J792" s="2">
        <f t="shared" si="51"/>
        <v>0</v>
      </c>
    </row>
    <row r="793" spans="1:10" x14ac:dyDescent="0.3">
      <c r="A793">
        <v>1000017766</v>
      </c>
      <c r="B793" s="1">
        <f>VLOOKUP(A793,[1]Sheet1!A:B,2,FALSE)</f>
        <v>40576</v>
      </c>
      <c r="C793" s="2">
        <v>0</v>
      </c>
      <c r="D793" s="2">
        <f>SUMIFS([1]Sheet1!D:D,[1]Sheet1!A:A,A793,[1]Sheet1!E:E,"Figurado")</f>
        <v>2223.4</v>
      </c>
      <c r="E793" s="2">
        <f>SUMIFS([1]Sheet1!D:D,[1]Sheet1!A:A,A793,[1]Sheet1!E:E,"Mallas")</f>
        <v>0</v>
      </c>
      <c r="F793" s="2">
        <f>SUMIFS([1]Sheet1!D:D,[1]Sheet1!A:A,A793,[1]Sheet1!E:E,"Materia Prima")</f>
        <v>0</v>
      </c>
      <c r="G793" s="2">
        <f t="shared" si="48"/>
        <v>0.85515384615384615</v>
      </c>
      <c r="H793">
        <f t="shared" si="49"/>
        <v>1</v>
      </c>
      <c r="I793" s="2">
        <f t="shared" si="50"/>
        <v>0.85515384615384615</v>
      </c>
      <c r="J793" s="2">
        <f t="shared" si="51"/>
        <v>0</v>
      </c>
    </row>
    <row r="794" spans="1:10" x14ac:dyDescent="0.3">
      <c r="A794">
        <v>1000017769</v>
      </c>
      <c r="B794" s="1">
        <f>VLOOKUP(A794,[1]Sheet1!A:B,2,FALSE)</f>
        <v>40576</v>
      </c>
      <c r="C794" s="2">
        <v>0</v>
      </c>
      <c r="D794" s="2">
        <f>SUMIFS([1]Sheet1!D:D,[1]Sheet1!A:A,A794,[1]Sheet1!E:E,"Figurado")</f>
        <v>0</v>
      </c>
      <c r="E794" s="2">
        <f>SUMIFS([1]Sheet1!D:D,[1]Sheet1!A:A,A794,[1]Sheet1!E:E,"Mallas")</f>
        <v>0</v>
      </c>
      <c r="F794" s="2">
        <f>SUMIFS([1]Sheet1!D:D,[1]Sheet1!A:A,A794,[1]Sheet1!E:E,"Materia Prima")</f>
        <v>1000</v>
      </c>
      <c r="G794" s="2">
        <f t="shared" si="48"/>
        <v>0</v>
      </c>
      <c r="H794">
        <f t="shared" si="49"/>
        <v>1</v>
      </c>
      <c r="I794" s="2">
        <f t="shared" si="50"/>
        <v>0</v>
      </c>
      <c r="J794" s="2">
        <f t="shared" si="51"/>
        <v>0</v>
      </c>
    </row>
    <row r="795" spans="1:10" x14ac:dyDescent="0.3">
      <c r="A795">
        <v>1000017770</v>
      </c>
      <c r="B795" s="1">
        <f>VLOOKUP(A795,[1]Sheet1!A:B,2,FALSE)</f>
        <v>40576</v>
      </c>
      <c r="C795" s="2">
        <v>0</v>
      </c>
      <c r="D795" s="2">
        <f>SUMIFS([1]Sheet1!D:D,[1]Sheet1!A:A,A795,[1]Sheet1!E:E,"Figurado")</f>
        <v>0</v>
      </c>
      <c r="E795" s="2">
        <f>SUMIFS([1]Sheet1!D:D,[1]Sheet1!A:A,A795,[1]Sheet1!E:E,"Mallas")</f>
        <v>0</v>
      </c>
      <c r="F795" s="2">
        <f>SUMIFS([1]Sheet1!D:D,[1]Sheet1!A:A,A795,[1]Sheet1!E:E,"Materia Prima")</f>
        <v>1000</v>
      </c>
      <c r="G795" s="2">
        <f t="shared" si="48"/>
        <v>0</v>
      </c>
      <c r="H795">
        <f t="shared" si="49"/>
        <v>1</v>
      </c>
      <c r="I795" s="2">
        <f t="shared" si="50"/>
        <v>0</v>
      </c>
      <c r="J795" s="2">
        <f t="shared" si="51"/>
        <v>0</v>
      </c>
    </row>
    <row r="796" spans="1:10" x14ac:dyDescent="0.3">
      <c r="A796">
        <v>1000017773</v>
      </c>
      <c r="B796" s="1">
        <f>VLOOKUP(A796,[1]Sheet1!A:B,2,FALSE)</f>
        <v>40576</v>
      </c>
      <c r="C796" s="2">
        <v>0</v>
      </c>
      <c r="D796" s="2">
        <f>SUMIFS([1]Sheet1!D:D,[1]Sheet1!A:A,A796,[1]Sheet1!E:E,"Figurado")</f>
        <v>0</v>
      </c>
      <c r="E796" s="2">
        <f>SUMIFS([1]Sheet1!D:D,[1]Sheet1!A:A,A796,[1]Sheet1!E:E,"Mallas")</f>
        <v>0</v>
      </c>
      <c r="F796" s="2">
        <f>SUMIFS([1]Sheet1!D:D,[1]Sheet1!A:A,A796,[1]Sheet1!E:E,"Materia Prima")</f>
        <v>712.8</v>
      </c>
      <c r="G796" s="2">
        <f t="shared" si="48"/>
        <v>0</v>
      </c>
      <c r="H796">
        <f t="shared" si="49"/>
        <v>1</v>
      </c>
      <c r="I796" s="2">
        <f t="shared" si="50"/>
        <v>0</v>
      </c>
      <c r="J796" s="2">
        <f t="shared" si="51"/>
        <v>0</v>
      </c>
    </row>
    <row r="797" spans="1:10" x14ac:dyDescent="0.3">
      <c r="A797">
        <v>1000017774</v>
      </c>
      <c r="B797" s="1">
        <f>VLOOKUP(A797,[1]Sheet1!A:B,2,FALSE)</f>
        <v>40576</v>
      </c>
      <c r="C797" s="2">
        <v>0</v>
      </c>
      <c r="D797" s="2">
        <f>SUMIFS([1]Sheet1!D:D,[1]Sheet1!A:A,A797,[1]Sheet1!E:E,"Figurado")</f>
        <v>0</v>
      </c>
      <c r="E797" s="2">
        <f>SUMIFS([1]Sheet1!D:D,[1]Sheet1!A:A,A797,[1]Sheet1!E:E,"Mallas")</f>
        <v>337.44</v>
      </c>
      <c r="F797" s="2">
        <f>SUMIFS([1]Sheet1!D:D,[1]Sheet1!A:A,A797,[1]Sheet1!E:E,"Materia Prima")</f>
        <v>0</v>
      </c>
      <c r="G797" s="2">
        <f t="shared" si="48"/>
        <v>0.42180000000000001</v>
      </c>
      <c r="H797">
        <f t="shared" si="49"/>
        <v>1</v>
      </c>
      <c r="I797" s="2">
        <f t="shared" si="50"/>
        <v>0</v>
      </c>
      <c r="J797" s="2">
        <f t="shared" si="51"/>
        <v>0.42180000000000001</v>
      </c>
    </row>
    <row r="798" spans="1:10" x14ac:dyDescent="0.3">
      <c r="A798">
        <v>1000017775</v>
      </c>
      <c r="B798" s="1">
        <f>VLOOKUP(A798,[1]Sheet1!A:B,2,FALSE)</f>
        <v>40576</v>
      </c>
      <c r="C798" s="2">
        <v>0</v>
      </c>
      <c r="D798" s="2">
        <f>SUMIFS([1]Sheet1!D:D,[1]Sheet1!A:A,A798,[1]Sheet1!E:E,"Figurado")</f>
        <v>0</v>
      </c>
      <c r="E798" s="2">
        <f>SUMIFS([1]Sheet1!D:D,[1]Sheet1!A:A,A798,[1]Sheet1!E:E,"Mallas")</f>
        <v>1096.68</v>
      </c>
      <c r="F798" s="2">
        <f>SUMIFS([1]Sheet1!D:D,[1]Sheet1!A:A,A798,[1]Sheet1!E:E,"Materia Prima")</f>
        <v>0</v>
      </c>
      <c r="G798" s="2">
        <f t="shared" si="48"/>
        <v>1.3708500000000001</v>
      </c>
      <c r="H798">
        <f t="shared" si="49"/>
        <v>1</v>
      </c>
      <c r="I798" s="2">
        <f t="shared" si="50"/>
        <v>0</v>
      </c>
      <c r="J798" s="2">
        <f t="shared" si="51"/>
        <v>1.3708500000000001</v>
      </c>
    </row>
    <row r="799" spans="1:10" x14ac:dyDescent="0.3">
      <c r="A799">
        <v>1000017776</v>
      </c>
      <c r="B799" s="1">
        <f>VLOOKUP(A799,[1]Sheet1!A:B,2,FALSE)</f>
        <v>40576</v>
      </c>
      <c r="C799" s="2">
        <v>0</v>
      </c>
      <c r="D799" s="2">
        <f>SUMIFS([1]Sheet1!D:D,[1]Sheet1!A:A,A799,[1]Sheet1!E:E,"Figurado")</f>
        <v>0</v>
      </c>
      <c r="E799" s="2">
        <f>SUMIFS([1]Sheet1!D:D,[1]Sheet1!A:A,A799,[1]Sheet1!E:E,"Mallas")</f>
        <v>494</v>
      </c>
      <c r="F799" s="2">
        <f>SUMIFS([1]Sheet1!D:D,[1]Sheet1!A:A,A799,[1]Sheet1!E:E,"Materia Prima")</f>
        <v>0</v>
      </c>
      <c r="G799" s="2">
        <f t="shared" si="48"/>
        <v>0.61750000000000005</v>
      </c>
      <c r="H799">
        <f t="shared" si="49"/>
        <v>1</v>
      </c>
      <c r="I799" s="2">
        <f t="shared" si="50"/>
        <v>0</v>
      </c>
      <c r="J799" s="2">
        <f t="shared" si="51"/>
        <v>0.61750000000000005</v>
      </c>
    </row>
    <row r="800" spans="1:10" x14ac:dyDescent="0.3">
      <c r="A800">
        <v>1000017777</v>
      </c>
      <c r="B800" s="1">
        <f>VLOOKUP(A800,[1]Sheet1!A:B,2,FALSE)</f>
        <v>40576</v>
      </c>
      <c r="C800" s="2">
        <v>0</v>
      </c>
      <c r="D800" s="2">
        <f>SUMIFS([1]Sheet1!D:D,[1]Sheet1!A:A,A800,[1]Sheet1!E:E,"Figurado")</f>
        <v>0</v>
      </c>
      <c r="E800" s="2">
        <f>SUMIFS([1]Sheet1!D:D,[1]Sheet1!A:A,A800,[1]Sheet1!E:E,"Mallas")</f>
        <v>0</v>
      </c>
      <c r="F800" s="2">
        <f>SUMIFS([1]Sheet1!D:D,[1]Sheet1!A:A,A800,[1]Sheet1!E:E,"Materia Prima")</f>
        <v>206</v>
      </c>
      <c r="G800" s="2">
        <f t="shared" si="48"/>
        <v>0</v>
      </c>
      <c r="H800">
        <f t="shared" si="49"/>
        <v>1</v>
      </c>
      <c r="I800" s="2">
        <f t="shared" si="50"/>
        <v>0</v>
      </c>
      <c r="J800" s="2">
        <f t="shared" si="51"/>
        <v>0</v>
      </c>
    </row>
    <row r="801" spans="1:10" x14ac:dyDescent="0.3">
      <c r="A801">
        <v>1000017779</v>
      </c>
      <c r="B801" s="1">
        <f>VLOOKUP(A801,[1]Sheet1!A:B,2,FALSE)</f>
        <v>40576</v>
      </c>
      <c r="C801" s="2">
        <v>0</v>
      </c>
      <c r="D801" s="2">
        <f>SUMIFS([1]Sheet1!D:D,[1]Sheet1!A:A,A801,[1]Sheet1!E:E,"Figurado")</f>
        <v>0</v>
      </c>
      <c r="E801" s="2">
        <f>SUMIFS([1]Sheet1!D:D,[1]Sheet1!A:A,A801,[1]Sheet1!E:E,"Mallas")</f>
        <v>0</v>
      </c>
      <c r="F801" s="2">
        <f>SUMIFS([1]Sheet1!D:D,[1]Sheet1!A:A,A801,[1]Sheet1!E:E,"Materia Prima")</f>
        <v>630.70000000000005</v>
      </c>
      <c r="G801" s="2">
        <f t="shared" si="48"/>
        <v>0</v>
      </c>
      <c r="H801">
        <f t="shared" si="49"/>
        <v>1</v>
      </c>
      <c r="I801" s="2">
        <f t="shared" si="50"/>
        <v>0</v>
      </c>
      <c r="J801" s="2">
        <f t="shared" si="51"/>
        <v>0</v>
      </c>
    </row>
    <row r="802" spans="1:10" x14ac:dyDescent="0.3">
      <c r="A802">
        <v>1000017781</v>
      </c>
      <c r="B802" s="1">
        <f>VLOOKUP(A802,[1]Sheet1!A:B,2,FALSE)</f>
        <v>40576</v>
      </c>
      <c r="C802" s="2">
        <v>0</v>
      </c>
      <c r="D802" s="2">
        <f>SUMIFS([1]Sheet1!D:D,[1]Sheet1!A:A,A802,[1]Sheet1!E:E,"Figurado")</f>
        <v>11947.1</v>
      </c>
      <c r="E802" s="2">
        <f>SUMIFS([1]Sheet1!D:D,[1]Sheet1!A:A,A802,[1]Sheet1!E:E,"Mallas")</f>
        <v>0</v>
      </c>
      <c r="F802" s="2">
        <f>SUMIFS([1]Sheet1!D:D,[1]Sheet1!A:A,A802,[1]Sheet1!E:E,"Materia Prima")</f>
        <v>0</v>
      </c>
      <c r="G802" s="2">
        <f t="shared" si="48"/>
        <v>4.5950384615384614</v>
      </c>
      <c r="H802">
        <f t="shared" si="49"/>
        <v>1</v>
      </c>
      <c r="I802" s="2">
        <f t="shared" si="50"/>
        <v>4.5950384615384614</v>
      </c>
      <c r="J802" s="2">
        <f t="shared" si="51"/>
        <v>0</v>
      </c>
    </row>
    <row r="803" spans="1:10" x14ac:dyDescent="0.3">
      <c r="A803">
        <v>1000017784</v>
      </c>
      <c r="B803" s="1">
        <f>VLOOKUP(A803,[1]Sheet1!A:B,2,FALSE)</f>
        <v>40576</v>
      </c>
      <c r="C803" s="2">
        <v>0</v>
      </c>
      <c r="D803" s="2">
        <f>SUMIFS([1]Sheet1!D:D,[1]Sheet1!A:A,A803,[1]Sheet1!E:E,"Figurado")</f>
        <v>0</v>
      </c>
      <c r="E803" s="2">
        <f>SUMIFS([1]Sheet1!D:D,[1]Sheet1!A:A,A803,[1]Sheet1!E:E,"Mallas")</f>
        <v>6264</v>
      </c>
      <c r="F803" s="2">
        <f>SUMIFS([1]Sheet1!D:D,[1]Sheet1!A:A,A803,[1]Sheet1!E:E,"Materia Prima")</f>
        <v>0</v>
      </c>
      <c r="G803" s="2">
        <f t="shared" si="48"/>
        <v>7.83</v>
      </c>
      <c r="H803">
        <f t="shared" si="49"/>
        <v>1</v>
      </c>
      <c r="I803" s="2">
        <f t="shared" si="50"/>
        <v>0</v>
      </c>
      <c r="J803" s="2">
        <f t="shared" si="51"/>
        <v>7.83</v>
      </c>
    </row>
    <row r="804" spans="1:10" x14ac:dyDescent="0.3">
      <c r="A804">
        <v>1000017786</v>
      </c>
      <c r="B804" s="1">
        <f>VLOOKUP(A804,[1]Sheet1!A:B,2,FALSE)</f>
        <v>40576</v>
      </c>
      <c r="C804" s="2">
        <v>0</v>
      </c>
      <c r="D804" s="2">
        <f>SUMIFS([1]Sheet1!D:D,[1]Sheet1!A:A,A804,[1]Sheet1!E:E,"Figurado")</f>
        <v>506.9</v>
      </c>
      <c r="E804" s="2">
        <f>SUMIFS([1]Sheet1!D:D,[1]Sheet1!A:A,A804,[1]Sheet1!E:E,"Mallas")</f>
        <v>0</v>
      </c>
      <c r="F804" s="2">
        <f>SUMIFS([1]Sheet1!D:D,[1]Sheet1!A:A,A804,[1]Sheet1!E:E,"Materia Prima")</f>
        <v>0</v>
      </c>
      <c r="G804" s="2">
        <f t="shared" si="48"/>
        <v>0.19496153846153846</v>
      </c>
      <c r="H804">
        <f t="shared" si="49"/>
        <v>1</v>
      </c>
      <c r="I804" s="2">
        <f t="shared" si="50"/>
        <v>0.19496153846153846</v>
      </c>
      <c r="J804" s="2">
        <f t="shared" si="51"/>
        <v>0</v>
      </c>
    </row>
    <row r="805" spans="1:10" x14ac:dyDescent="0.3">
      <c r="A805">
        <v>1000017790</v>
      </c>
      <c r="B805" s="1">
        <f>VLOOKUP(A805,[1]Sheet1!A:B,2,FALSE)</f>
        <v>40576</v>
      </c>
      <c r="C805" s="2">
        <v>0</v>
      </c>
      <c r="D805" s="2">
        <f>SUMIFS([1]Sheet1!D:D,[1]Sheet1!A:A,A805,[1]Sheet1!E:E,"Figurado")</f>
        <v>0</v>
      </c>
      <c r="E805" s="2">
        <f>SUMIFS([1]Sheet1!D:D,[1]Sheet1!A:A,A805,[1]Sheet1!E:E,"Mallas")</f>
        <v>0</v>
      </c>
      <c r="F805" s="2">
        <f>SUMIFS([1]Sheet1!D:D,[1]Sheet1!A:A,A805,[1]Sheet1!E:E,"Materia Prima")</f>
        <v>900</v>
      </c>
      <c r="G805" s="2">
        <f t="shared" si="48"/>
        <v>0</v>
      </c>
      <c r="H805">
        <f t="shared" si="49"/>
        <v>1</v>
      </c>
      <c r="I805" s="2">
        <f t="shared" si="50"/>
        <v>0</v>
      </c>
      <c r="J805" s="2">
        <f t="shared" si="51"/>
        <v>0</v>
      </c>
    </row>
    <row r="806" spans="1:10" x14ac:dyDescent="0.3">
      <c r="A806">
        <v>1000017791</v>
      </c>
      <c r="B806" s="1">
        <f>VLOOKUP(A806,[1]Sheet1!A:B,2,FALSE)</f>
        <v>40576</v>
      </c>
      <c r="C806" s="2">
        <v>0</v>
      </c>
      <c r="D806" s="2">
        <f>SUMIFS([1]Sheet1!D:D,[1]Sheet1!A:A,A806,[1]Sheet1!E:E,"Figurado")</f>
        <v>4694.8</v>
      </c>
      <c r="E806" s="2">
        <f>SUMIFS([1]Sheet1!D:D,[1]Sheet1!A:A,A806,[1]Sheet1!E:E,"Mallas")</f>
        <v>0</v>
      </c>
      <c r="F806" s="2">
        <f>SUMIFS([1]Sheet1!D:D,[1]Sheet1!A:A,A806,[1]Sheet1!E:E,"Materia Prima")</f>
        <v>0</v>
      </c>
      <c r="G806" s="2">
        <f t="shared" si="48"/>
        <v>1.8056923076923077</v>
      </c>
      <c r="H806">
        <f t="shared" si="49"/>
        <v>1</v>
      </c>
      <c r="I806" s="2">
        <f t="shared" si="50"/>
        <v>1.8056923076923077</v>
      </c>
      <c r="J806" s="2">
        <f t="shared" si="51"/>
        <v>0</v>
      </c>
    </row>
    <row r="807" spans="1:10" x14ac:dyDescent="0.3">
      <c r="A807">
        <v>1000017792</v>
      </c>
      <c r="B807" s="1">
        <f>VLOOKUP(A807,[1]Sheet1!A:B,2,FALSE)</f>
        <v>40576</v>
      </c>
      <c r="C807" s="2">
        <v>0</v>
      </c>
      <c r="D807" s="2">
        <f>SUMIFS([1]Sheet1!D:D,[1]Sheet1!A:A,A807,[1]Sheet1!E:E,"Figurado")</f>
        <v>2561.1000000000004</v>
      </c>
      <c r="E807" s="2">
        <f>SUMIFS([1]Sheet1!D:D,[1]Sheet1!A:A,A807,[1]Sheet1!E:E,"Mallas")</f>
        <v>0</v>
      </c>
      <c r="F807" s="2">
        <f>SUMIFS([1]Sheet1!D:D,[1]Sheet1!A:A,A807,[1]Sheet1!E:E,"Materia Prima")</f>
        <v>0</v>
      </c>
      <c r="G807" s="2">
        <f t="shared" si="48"/>
        <v>0.98503846153846164</v>
      </c>
      <c r="H807">
        <f t="shared" si="49"/>
        <v>1</v>
      </c>
      <c r="I807" s="2">
        <f t="shared" si="50"/>
        <v>0.98503846153846164</v>
      </c>
      <c r="J807" s="2">
        <f t="shared" si="51"/>
        <v>0</v>
      </c>
    </row>
    <row r="808" spans="1:10" x14ac:dyDescent="0.3">
      <c r="A808">
        <v>1000017793</v>
      </c>
      <c r="B808" s="1">
        <f>VLOOKUP(A808,[1]Sheet1!A:B,2,FALSE)</f>
        <v>40576</v>
      </c>
      <c r="C808" s="2">
        <v>0</v>
      </c>
      <c r="D808" s="2">
        <f>SUMIFS([1]Sheet1!D:D,[1]Sheet1!A:A,A808,[1]Sheet1!E:E,"Figurado")</f>
        <v>2239.5</v>
      </c>
      <c r="E808" s="2">
        <f>SUMIFS([1]Sheet1!D:D,[1]Sheet1!A:A,A808,[1]Sheet1!E:E,"Mallas")</f>
        <v>0</v>
      </c>
      <c r="F808" s="2">
        <f>SUMIFS([1]Sheet1!D:D,[1]Sheet1!A:A,A808,[1]Sheet1!E:E,"Materia Prima")</f>
        <v>0</v>
      </c>
      <c r="G808" s="2">
        <f t="shared" si="48"/>
        <v>0.86134615384615387</v>
      </c>
      <c r="H808">
        <f t="shared" si="49"/>
        <v>1</v>
      </c>
      <c r="I808" s="2">
        <f t="shared" si="50"/>
        <v>0.86134615384615387</v>
      </c>
      <c r="J808" s="2">
        <f t="shared" si="51"/>
        <v>0</v>
      </c>
    </row>
    <row r="809" spans="1:10" x14ac:dyDescent="0.3">
      <c r="A809">
        <v>1000017794</v>
      </c>
      <c r="B809" s="1">
        <f>VLOOKUP(A809,[1]Sheet1!A:B,2,FALSE)</f>
        <v>40576</v>
      </c>
      <c r="C809" s="2">
        <v>0</v>
      </c>
      <c r="D809" s="2">
        <f>SUMIFS([1]Sheet1!D:D,[1]Sheet1!A:A,A809,[1]Sheet1!E:E,"Figurado")</f>
        <v>1794</v>
      </c>
      <c r="E809" s="2">
        <f>SUMIFS([1]Sheet1!D:D,[1]Sheet1!A:A,A809,[1]Sheet1!E:E,"Mallas")</f>
        <v>0</v>
      </c>
      <c r="F809" s="2">
        <f>SUMIFS([1]Sheet1!D:D,[1]Sheet1!A:A,A809,[1]Sheet1!E:E,"Materia Prima")</f>
        <v>0</v>
      </c>
      <c r="G809" s="2">
        <f t="shared" si="48"/>
        <v>0.69</v>
      </c>
      <c r="H809">
        <f t="shared" si="49"/>
        <v>1</v>
      </c>
      <c r="I809" s="2">
        <f t="shared" si="50"/>
        <v>0.69</v>
      </c>
      <c r="J809" s="2">
        <f t="shared" si="51"/>
        <v>0</v>
      </c>
    </row>
    <row r="810" spans="1:10" x14ac:dyDescent="0.3">
      <c r="A810">
        <v>1000017804</v>
      </c>
      <c r="B810" s="1">
        <f>VLOOKUP(A810,[1]Sheet1!A:B,2,FALSE)</f>
        <v>40576</v>
      </c>
      <c r="C810" s="2">
        <v>0</v>
      </c>
      <c r="D810" s="2">
        <f>SUMIFS([1]Sheet1!D:D,[1]Sheet1!A:A,A810,[1]Sheet1!E:E,"Figurado")</f>
        <v>2169.9000000000005</v>
      </c>
      <c r="E810" s="2">
        <f>SUMIFS([1]Sheet1!D:D,[1]Sheet1!A:A,A810,[1]Sheet1!E:E,"Mallas")</f>
        <v>0</v>
      </c>
      <c r="F810" s="2">
        <f>SUMIFS([1]Sheet1!D:D,[1]Sheet1!A:A,A810,[1]Sheet1!E:E,"Materia Prima")</f>
        <v>48</v>
      </c>
      <c r="G810" s="2">
        <f t="shared" si="48"/>
        <v>0.83457692307692333</v>
      </c>
      <c r="H810">
        <f t="shared" si="49"/>
        <v>2</v>
      </c>
      <c r="I810" s="2">
        <f t="shared" si="50"/>
        <v>0.83457692307692333</v>
      </c>
      <c r="J810" s="2">
        <f t="shared" si="51"/>
        <v>0</v>
      </c>
    </row>
    <row r="811" spans="1:10" x14ac:dyDescent="0.3">
      <c r="A811">
        <v>1000017808</v>
      </c>
      <c r="B811" s="1">
        <f>VLOOKUP(A811,[1]Sheet1!A:B,2,FALSE)</f>
        <v>40577</v>
      </c>
      <c r="C811" s="2">
        <v>0</v>
      </c>
      <c r="D811" s="2">
        <f>SUMIFS([1]Sheet1!D:D,[1]Sheet1!A:A,A811,[1]Sheet1!E:E,"Figurado")</f>
        <v>0</v>
      </c>
      <c r="E811" s="2">
        <f>SUMIFS([1]Sheet1!D:D,[1]Sheet1!A:A,A811,[1]Sheet1!E:E,"Mallas")</f>
        <v>0</v>
      </c>
      <c r="F811" s="2">
        <f>SUMIFS([1]Sheet1!D:D,[1]Sheet1!A:A,A811,[1]Sheet1!E:E,"Materia Prima")</f>
        <v>450</v>
      </c>
      <c r="G811" s="2">
        <f t="shared" si="48"/>
        <v>0</v>
      </c>
      <c r="H811">
        <f t="shared" si="49"/>
        <v>1</v>
      </c>
      <c r="I811" s="2">
        <f t="shared" si="50"/>
        <v>0</v>
      </c>
      <c r="J811" s="2">
        <f t="shared" si="51"/>
        <v>0</v>
      </c>
    </row>
    <row r="812" spans="1:10" x14ac:dyDescent="0.3">
      <c r="A812">
        <v>1000017809</v>
      </c>
      <c r="B812" s="1">
        <f>VLOOKUP(A812,[1]Sheet1!A:B,2,FALSE)</f>
        <v>40577</v>
      </c>
      <c r="C812" s="2">
        <v>0</v>
      </c>
      <c r="D812" s="2">
        <f>SUMIFS([1]Sheet1!D:D,[1]Sheet1!A:A,A812,[1]Sheet1!E:E,"Figurado")</f>
        <v>0</v>
      </c>
      <c r="E812" s="2">
        <f>SUMIFS([1]Sheet1!D:D,[1]Sheet1!A:A,A812,[1]Sheet1!E:E,"Mallas")</f>
        <v>5208.47</v>
      </c>
      <c r="F812" s="2">
        <f>SUMIFS([1]Sheet1!D:D,[1]Sheet1!A:A,A812,[1]Sheet1!E:E,"Materia Prima")</f>
        <v>0</v>
      </c>
      <c r="G812" s="2">
        <f t="shared" si="48"/>
        <v>6.5105875000000006</v>
      </c>
      <c r="H812">
        <f t="shared" si="49"/>
        <v>1</v>
      </c>
      <c r="I812" s="2">
        <f t="shared" si="50"/>
        <v>0</v>
      </c>
      <c r="J812" s="2">
        <f t="shared" si="51"/>
        <v>6.5105875000000006</v>
      </c>
    </row>
    <row r="813" spans="1:10" x14ac:dyDescent="0.3">
      <c r="A813">
        <v>1000017810</v>
      </c>
      <c r="B813" s="1">
        <f>VLOOKUP(A813,[1]Sheet1!A:B,2,FALSE)</f>
        <v>40577</v>
      </c>
      <c r="C813" s="2">
        <v>0</v>
      </c>
      <c r="D813" s="2">
        <f>SUMIFS([1]Sheet1!D:D,[1]Sheet1!A:A,A813,[1]Sheet1!E:E,"Figurado")</f>
        <v>0</v>
      </c>
      <c r="E813" s="2">
        <f>SUMIFS([1]Sheet1!D:D,[1]Sheet1!A:A,A813,[1]Sheet1!E:E,"Mallas")</f>
        <v>84.6</v>
      </c>
      <c r="F813" s="2">
        <f>SUMIFS([1]Sheet1!D:D,[1]Sheet1!A:A,A813,[1]Sheet1!E:E,"Materia Prima")</f>
        <v>0</v>
      </c>
      <c r="G813" s="2">
        <f t="shared" si="48"/>
        <v>0.10575</v>
      </c>
      <c r="H813">
        <f t="shared" si="49"/>
        <v>1</v>
      </c>
      <c r="I813" s="2">
        <f t="shared" si="50"/>
        <v>0</v>
      </c>
      <c r="J813" s="2">
        <f t="shared" si="51"/>
        <v>0.10575</v>
      </c>
    </row>
    <row r="814" spans="1:10" x14ac:dyDescent="0.3">
      <c r="A814">
        <v>1000017811</v>
      </c>
      <c r="B814" s="1">
        <f>VLOOKUP(A814,[1]Sheet1!A:B,2,FALSE)</f>
        <v>40577</v>
      </c>
      <c r="C814" s="2">
        <v>0</v>
      </c>
      <c r="D814" s="2">
        <f>SUMIFS([1]Sheet1!D:D,[1]Sheet1!A:A,A814,[1]Sheet1!E:E,"Figurado")</f>
        <v>0</v>
      </c>
      <c r="E814" s="2">
        <f>SUMIFS([1]Sheet1!D:D,[1]Sheet1!A:A,A814,[1]Sheet1!E:E,"Mallas")</f>
        <v>1491.88</v>
      </c>
      <c r="F814" s="2">
        <f>SUMIFS([1]Sheet1!D:D,[1]Sheet1!A:A,A814,[1]Sheet1!E:E,"Materia Prima")</f>
        <v>100</v>
      </c>
      <c r="G814" s="2">
        <f t="shared" si="48"/>
        <v>1.8648500000000001</v>
      </c>
      <c r="H814">
        <f t="shared" si="49"/>
        <v>2</v>
      </c>
      <c r="I814" s="2">
        <f t="shared" si="50"/>
        <v>0</v>
      </c>
      <c r="J814" s="2">
        <f t="shared" si="51"/>
        <v>1.8648500000000001</v>
      </c>
    </row>
    <row r="815" spans="1:10" x14ac:dyDescent="0.3">
      <c r="A815">
        <v>1000017812</v>
      </c>
      <c r="B815" s="1">
        <f>VLOOKUP(A815,[1]Sheet1!A:B,2,FALSE)</f>
        <v>40577</v>
      </c>
      <c r="C815" s="2">
        <v>0</v>
      </c>
      <c r="D815" s="2">
        <f>SUMIFS([1]Sheet1!D:D,[1]Sheet1!A:A,A815,[1]Sheet1!E:E,"Figurado")</f>
        <v>0</v>
      </c>
      <c r="E815" s="2">
        <f>SUMIFS([1]Sheet1!D:D,[1]Sheet1!A:A,A815,[1]Sheet1!E:E,"Mallas")</f>
        <v>1086.8</v>
      </c>
      <c r="F815" s="2">
        <f>SUMIFS([1]Sheet1!D:D,[1]Sheet1!A:A,A815,[1]Sheet1!E:E,"Materia Prima")</f>
        <v>0</v>
      </c>
      <c r="G815" s="2">
        <f t="shared" si="48"/>
        <v>1.3585</v>
      </c>
      <c r="H815">
        <f t="shared" si="49"/>
        <v>1</v>
      </c>
      <c r="I815" s="2">
        <f t="shared" si="50"/>
        <v>0</v>
      </c>
      <c r="J815" s="2">
        <f t="shared" si="51"/>
        <v>1.3585</v>
      </c>
    </row>
    <row r="816" spans="1:10" x14ac:dyDescent="0.3">
      <c r="A816">
        <v>1000017814</v>
      </c>
      <c r="B816" s="1">
        <f>VLOOKUP(A816,[1]Sheet1!A:B,2,FALSE)</f>
        <v>40577</v>
      </c>
      <c r="C816" s="2">
        <v>0</v>
      </c>
      <c r="D816" s="2">
        <f>SUMIFS([1]Sheet1!D:D,[1]Sheet1!A:A,A816,[1]Sheet1!E:E,"Figurado")</f>
        <v>1958.8</v>
      </c>
      <c r="E816" s="2">
        <f>SUMIFS([1]Sheet1!D:D,[1]Sheet1!A:A,A816,[1]Sheet1!E:E,"Mallas")</f>
        <v>0</v>
      </c>
      <c r="F816" s="2">
        <f>SUMIFS([1]Sheet1!D:D,[1]Sheet1!A:A,A816,[1]Sheet1!E:E,"Materia Prima")</f>
        <v>100.8</v>
      </c>
      <c r="G816" s="2">
        <f t="shared" si="48"/>
        <v>0.75338461538461532</v>
      </c>
      <c r="H816">
        <f t="shared" si="49"/>
        <v>2</v>
      </c>
      <c r="I816" s="2">
        <f t="shared" si="50"/>
        <v>0.75338461538461532</v>
      </c>
      <c r="J816" s="2">
        <f t="shared" si="51"/>
        <v>0</v>
      </c>
    </row>
    <row r="817" spans="1:10" x14ac:dyDescent="0.3">
      <c r="A817">
        <v>1000017824</v>
      </c>
      <c r="B817" s="1">
        <f>VLOOKUP(A817,[1]Sheet1!A:B,2,FALSE)</f>
        <v>40577</v>
      </c>
      <c r="C817" s="2">
        <v>0</v>
      </c>
      <c r="D817" s="2">
        <f>SUMIFS([1]Sheet1!D:D,[1]Sheet1!A:A,A817,[1]Sheet1!E:E,"Figurado")</f>
        <v>0</v>
      </c>
      <c r="E817" s="2">
        <f>SUMIFS([1]Sheet1!D:D,[1]Sheet1!A:A,A817,[1]Sheet1!E:E,"Mallas")</f>
        <v>615.29999999999995</v>
      </c>
      <c r="F817" s="2">
        <f>SUMIFS([1]Sheet1!D:D,[1]Sheet1!A:A,A817,[1]Sheet1!E:E,"Materia Prima")</f>
        <v>0</v>
      </c>
      <c r="G817" s="2">
        <f t="shared" si="48"/>
        <v>0.76912499999999995</v>
      </c>
      <c r="H817">
        <f t="shared" si="49"/>
        <v>1</v>
      </c>
      <c r="I817" s="2">
        <f t="shared" si="50"/>
        <v>0</v>
      </c>
      <c r="J817" s="2">
        <f t="shared" si="51"/>
        <v>0.76912499999999995</v>
      </c>
    </row>
    <row r="818" spans="1:10" x14ac:dyDescent="0.3">
      <c r="A818">
        <v>1000017825</v>
      </c>
      <c r="B818" s="1">
        <f>VLOOKUP(A818,[1]Sheet1!A:B,2,FALSE)</f>
        <v>40577</v>
      </c>
      <c r="C818" s="2">
        <v>0</v>
      </c>
      <c r="D818" s="2">
        <f>SUMIFS([1]Sheet1!D:D,[1]Sheet1!A:A,A818,[1]Sheet1!E:E,"Figurado")</f>
        <v>0</v>
      </c>
      <c r="E818" s="2">
        <f>SUMIFS([1]Sheet1!D:D,[1]Sheet1!A:A,A818,[1]Sheet1!E:E,"Mallas")</f>
        <v>0</v>
      </c>
      <c r="F818" s="2">
        <f>SUMIFS([1]Sheet1!D:D,[1]Sheet1!A:A,A818,[1]Sheet1!E:E,"Materia Prima")</f>
        <v>103</v>
      </c>
      <c r="G818" s="2">
        <f t="shared" si="48"/>
        <v>0</v>
      </c>
      <c r="H818">
        <f t="shared" si="49"/>
        <v>1</v>
      </c>
      <c r="I818" s="2">
        <f t="shared" si="50"/>
        <v>0</v>
      </c>
      <c r="J818" s="2">
        <f t="shared" si="51"/>
        <v>0</v>
      </c>
    </row>
    <row r="819" spans="1:10" x14ac:dyDescent="0.3">
      <c r="A819">
        <v>1000017833</v>
      </c>
      <c r="B819" s="1">
        <f>VLOOKUP(A819,[1]Sheet1!A:B,2,FALSE)</f>
        <v>40577</v>
      </c>
      <c r="C819" s="2">
        <v>0</v>
      </c>
      <c r="D819" s="2">
        <f>SUMIFS([1]Sheet1!D:D,[1]Sheet1!A:A,A819,[1]Sheet1!E:E,"Figurado")</f>
        <v>0</v>
      </c>
      <c r="E819" s="2">
        <f>SUMIFS([1]Sheet1!D:D,[1]Sheet1!A:A,A819,[1]Sheet1!E:E,"Mallas")</f>
        <v>0</v>
      </c>
      <c r="F819" s="2">
        <f>SUMIFS([1]Sheet1!D:D,[1]Sheet1!A:A,A819,[1]Sheet1!E:E,"Materia Prima")</f>
        <v>313.32</v>
      </c>
      <c r="G819" s="2">
        <f t="shared" si="48"/>
        <v>0</v>
      </c>
      <c r="H819">
        <f t="shared" si="49"/>
        <v>1</v>
      </c>
      <c r="I819" s="2">
        <f t="shared" si="50"/>
        <v>0</v>
      </c>
      <c r="J819" s="2">
        <f t="shared" si="51"/>
        <v>0</v>
      </c>
    </row>
    <row r="820" spans="1:10" x14ac:dyDescent="0.3">
      <c r="A820">
        <v>1000017834</v>
      </c>
      <c r="B820" s="1">
        <f>VLOOKUP(A820,[1]Sheet1!A:B,2,FALSE)</f>
        <v>40577</v>
      </c>
      <c r="C820" s="2">
        <v>0</v>
      </c>
      <c r="D820" s="2">
        <f>SUMIFS([1]Sheet1!D:D,[1]Sheet1!A:A,A820,[1]Sheet1!E:E,"Figurado")</f>
        <v>0</v>
      </c>
      <c r="E820" s="2">
        <f>SUMIFS([1]Sheet1!D:D,[1]Sheet1!A:A,A820,[1]Sheet1!E:E,"Mallas")</f>
        <v>467</v>
      </c>
      <c r="F820" s="2">
        <f>SUMIFS([1]Sheet1!D:D,[1]Sheet1!A:A,A820,[1]Sheet1!E:E,"Materia Prima")</f>
        <v>0</v>
      </c>
      <c r="G820" s="2">
        <f t="shared" si="48"/>
        <v>0.58374999999999999</v>
      </c>
      <c r="H820">
        <f t="shared" si="49"/>
        <v>1</v>
      </c>
      <c r="I820" s="2">
        <f t="shared" si="50"/>
        <v>0</v>
      </c>
      <c r="J820" s="2">
        <f t="shared" si="51"/>
        <v>0.58374999999999999</v>
      </c>
    </row>
    <row r="821" spans="1:10" x14ac:dyDescent="0.3">
      <c r="A821">
        <v>1000017835</v>
      </c>
      <c r="B821" s="1">
        <f>VLOOKUP(A821,[1]Sheet1!A:B,2,FALSE)</f>
        <v>40577</v>
      </c>
      <c r="C821" s="2">
        <v>0</v>
      </c>
      <c r="D821" s="2">
        <f>SUMIFS([1]Sheet1!D:D,[1]Sheet1!A:A,A821,[1]Sheet1!E:E,"Figurado")</f>
        <v>0</v>
      </c>
      <c r="E821" s="2">
        <f>SUMIFS([1]Sheet1!D:D,[1]Sheet1!A:A,A821,[1]Sheet1!E:E,"Mallas")</f>
        <v>4938.66</v>
      </c>
      <c r="F821" s="2">
        <f>SUMIFS([1]Sheet1!D:D,[1]Sheet1!A:A,A821,[1]Sheet1!E:E,"Materia Prima")</f>
        <v>0</v>
      </c>
      <c r="G821" s="2">
        <f t="shared" si="48"/>
        <v>6.1733250000000002</v>
      </c>
      <c r="H821">
        <f t="shared" si="49"/>
        <v>1</v>
      </c>
      <c r="I821" s="2">
        <f t="shared" si="50"/>
        <v>0</v>
      </c>
      <c r="J821" s="2">
        <f t="shared" si="51"/>
        <v>6.1733250000000002</v>
      </c>
    </row>
    <row r="822" spans="1:10" x14ac:dyDescent="0.3">
      <c r="A822">
        <v>1000017836</v>
      </c>
      <c r="B822" s="1">
        <f>VLOOKUP(A822,[1]Sheet1!A:B,2,FALSE)</f>
        <v>40577</v>
      </c>
      <c r="C822" s="2">
        <v>0</v>
      </c>
      <c r="D822" s="2">
        <f>SUMIFS([1]Sheet1!D:D,[1]Sheet1!A:A,A822,[1]Sheet1!E:E,"Figurado")</f>
        <v>0</v>
      </c>
      <c r="E822" s="2">
        <f>SUMIFS([1]Sheet1!D:D,[1]Sheet1!A:A,A822,[1]Sheet1!E:E,"Mallas")</f>
        <v>846</v>
      </c>
      <c r="F822" s="2">
        <f>SUMIFS([1]Sheet1!D:D,[1]Sheet1!A:A,A822,[1]Sheet1!E:E,"Materia Prima")</f>
        <v>0</v>
      </c>
      <c r="G822" s="2">
        <f t="shared" si="48"/>
        <v>1.0575000000000001</v>
      </c>
      <c r="H822">
        <f t="shared" si="49"/>
        <v>1</v>
      </c>
      <c r="I822" s="2">
        <f t="shared" si="50"/>
        <v>0</v>
      </c>
      <c r="J822" s="2">
        <f t="shared" si="51"/>
        <v>1.0575000000000001</v>
      </c>
    </row>
    <row r="823" spans="1:10" x14ac:dyDescent="0.3">
      <c r="A823">
        <v>1000017837</v>
      </c>
      <c r="B823" s="1">
        <f>VLOOKUP(A823,[1]Sheet1!A:B,2,FALSE)</f>
        <v>40577</v>
      </c>
      <c r="C823" s="2">
        <v>0</v>
      </c>
      <c r="D823" s="2">
        <f>SUMIFS([1]Sheet1!D:D,[1]Sheet1!A:A,A823,[1]Sheet1!E:E,"Figurado")</f>
        <v>0</v>
      </c>
      <c r="E823" s="2">
        <f>SUMIFS([1]Sheet1!D:D,[1]Sheet1!A:A,A823,[1]Sheet1!E:E,"Mallas")</f>
        <v>2235.54</v>
      </c>
      <c r="F823" s="2">
        <f>SUMIFS([1]Sheet1!D:D,[1]Sheet1!A:A,A823,[1]Sheet1!E:E,"Materia Prima")</f>
        <v>0</v>
      </c>
      <c r="G823" s="2">
        <f t="shared" si="48"/>
        <v>2.7944249999999999</v>
      </c>
      <c r="H823">
        <f t="shared" si="49"/>
        <v>1</v>
      </c>
      <c r="I823" s="2">
        <f t="shared" si="50"/>
        <v>0</v>
      </c>
      <c r="J823" s="2">
        <f t="shared" si="51"/>
        <v>2.7944249999999999</v>
      </c>
    </row>
    <row r="824" spans="1:10" x14ac:dyDescent="0.3">
      <c r="A824">
        <v>1000017838</v>
      </c>
      <c r="B824" s="1">
        <f>VLOOKUP(A824,[1]Sheet1!A:B,2,FALSE)</f>
        <v>40577</v>
      </c>
      <c r="C824" s="2">
        <v>0</v>
      </c>
      <c r="D824" s="2">
        <f>SUMIFS([1]Sheet1!D:D,[1]Sheet1!A:A,A824,[1]Sheet1!E:E,"Figurado")</f>
        <v>0</v>
      </c>
      <c r="E824" s="2">
        <f>SUMIFS([1]Sheet1!D:D,[1]Sheet1!A:A,A824,[1]Sheet1!E:E,"Mallas")</f>
        <v>229.52</v>
      </c>
      <c r="F824" s="2">
        <f>SUMIFS([1]Sheet1!D:D,[1]Sheet1!A:A,A824,[1]Sheet1!E:E,"Materia Prima")</f>
        <v>0</v>
      </c>
      <c r="G824" s="2">
        <f t="shared" si="48"/>
        <v>0.28689999999999999</v>
      </c>
      <c r="H824">
        <f t="shared" si="49"/>
        <v>1</v>
      </c>
      <c r="I824" s="2">
        <f t="shared" si="50"/>
        <v>0</v>
      </c>
      <c r="J824" s="2">
        <f t="shared" si="51"/>
        <v>0.28689999999999999</v>
      </c>
    </row>
    <row r="825" spans="1:10" x14ac:dyDescent="0.3">
      <c r="A825">
        <v>1000017839</v>
      </c>
      <c r="B825" s="1">
        <f>VLOOKUP(A825,[1]Sheet1!A:B,2,FALSE)</f>
        <v>40577</v>
      </c>
      <c r="C825" s="2">
        <v>0</v>
      </c>
      <c r="D825" s="2">
        <f>SUMIFS([1]Sheet1!D:D,[1]Sheet1!A:A,A825,[1]Sheet1!E:E,"Figurado")</f>
        <v>0</v>
      </c>
      <c r="E825" s="2">
        <f>SUMIFS([1]Sheet1!D:D,[1]Sheet1!A:A,A825,[1]Sheet1!E:E,"Mallas")</f>
        <v>0</v>
      </c>
      <c r="F825" s="2">
        <f>SUMIFS([1]Sheet1!D:D,[1]Sheet1!A:A,A825,[1]Sheet1!E:E,"Materia Prima")</f>
        <v>1000</v>
      </c>
      <c r="G825" s="2">
        <f t="shared" si="48"/>
        <v>0</v>
      </c>
      <c r="H825">
        <f t="shared" si="49"/>
        <v>1</v>
      </c>
      <c r="I825" s="2">
        <f t="shared" si="50"/>
        <v>0</v>
      </c>
      <c r="J825" s="2">
        <f t="shared" si="51"/>
        <v>0</v>
      </c>
    </row>
    <row r="826" spans="1:10" x14ac:dyDescent="0.3">
      <c r="A826">
        <v>1000017840</v>
      </c>
      <c r="B826" s="1">
        <f>VLOOKUP(A826,[1]Sheet1!A:B,2,FALSE)</f>
        <v>40577</v>
      </c>
      <c r="C826" s="2">
        <v>0</v>
      </c>
      <c r="D826" s="2">
        <f>SUMIFS([1]Sheet1!D:D,[1]Sheet1!A:A,A826,[1]Sheet1!E:E,"Figurado")</f>
        <v>0</v>
      </c>
      <c r="E826" s="2">
        <f>SUMIFS([1]Sheet1!D:D,[1]Sheet1!A:A,A826,[1]Sheet1!E:E,"Mallas")</f>
        <v>2008.6799999999998</v>
      </c>
      <c r="F826" s="2">
        <f>SUMIFS([1]Sheet1!D:D,[1]Sheet1!A:A,A826,[1]Sheet1!E:E,"Materia Prima")</f>
        <v>0</v>
      </c>
      <c r="G826" s="2">
        <f t="shared" si="48"/>
        <v>2.5108499999999996</v>
      </c>
      <c r="H826">
        <f t="shared" si="49"/>
        <v>1</v>
      </c>
      <c r="I826" s="2">
        <f t="shared" si="50"/>
        <v>0</v>
      </c>
      <c r="J826" s="2">
        <f t="shared" si="51"/>
        <v>2.5108499999999996</v>
      </c>
    </row>
    <row r="827" spans="1:10" x14ac:dyDescent="0.3">
      <c r="A827">
        <v>1000017841</v>
      </c>
      <c r="B827" s="1">
        <f>VLOOKUP(A827,[1]Sheet1!A:B,2,FALSE)</f>
        <v>40577</v>
      </c>
      <c r="C827" s="2">
        <v>0</v>
      </c>
      <c r="D827" s="2">
        <f>SUMIFS([1]Sheet1!D:D,[1]Sheet1!A:A,A827,[1]Sheet1!E:E,"Figurado")</f>
        <v>0</v>
      </c>
      <c r="E827" s="2">
        <f>SUMIFS([1]Sheet1!D:D,[1]Sheet1!A:A,A827,[1]Sheet1!E:E,"Mallas")</f>
        <v>0</v>
      </c>
      <c r="F827" s="2">
        <f>SUMIFS([1]Sheet1!D:D,[1]Sheet1!A:A,A827,[1]Sheet1!E:E,"Materia Prima")</f>
        <v>13.8825</v>
      </c>
      <c r="G827" s="2">
        <f t="shared" si="48"/>
        <v>0</v>
      </c>
      <c r="H827">
        <f t="shared" si="49"/>
        <v>1</v>
      </c>
      <c r="I827" s="2">
        <f t="shared" si="50"/>
        <v>0</v>
      </c>
      <c r="J827" s="2">
        <f t="shared" si="51"/>
        <v>0</v>
      </c>
    </row>
    <row r="828" spans="1:10" x14ac:dyDescent="0.3">
      <c r="A828">
        <v>1000017842</v>
      </c>
      <c r="B828" s="1">
        <f>VLOOKUP(A828,[1]Sheet1!A:B,2,FALSE)</f>
        <v>40577</v>
      </c>
      <c r="C828" s="2">
        <v>0</v>
      </c>
      <c r="D828" s="2">
        <f>SUMIFS([1]Sheet1!D:D,[1]Sheet1!A:A,A828,[1]Sheet1!E:E,"Figurado")</f>
        <v>0</v>
      </c>
      <c r="E828" s="2">
        <f>SUMIFS([1]Sheet1!D:D,[1]Sheet1!A:A,A828,[1]Sheet1!E:E,"Mallas")</f>
        <v>0</v>
      </c>
      <c r="F828" s="2">
        <f>SUMIFS([1]Sheet1!D:D,[1]Sheet1!A:A,A828,[1]Sheet1!E:E,"Materia Prima")</f>
        <v>23.137499999999999</v>
      </c>
      <c r="G828" s="2">
        <f t="shared" si="48"/>
        <v>0</v>
      </c>
      <c r="H828">
        <f t="shared" si="49"/>
        <v>1</v>
      </c>
      <c r="I828" s="2">
        <f t="shared" si="50"/>
        <v>0</v>
      </c>
      <c r="J828" s="2">
        <f t="shared" si="51"/>
        <v>0</v>
      </c>
    </row>
    <row r="829" spans="1:10" x14ac:dyDescent="0.3">
      <c r="A829">
        <v>1000017843</v>
      </c>
      <c r="B829" s="1">
        <f>VLOOKUP(A829,[1]Sheet1!A:B,2,FALSE)</f>
        <v>40577</v>
      </c>
      <c r="C829" s="2">
        <v>0</v>
      </c>
      <c r="D829" s="2">
        <f>SUMIFS([1]Sheet1!D:D,[1]Sheet1!A:A,A829,[1]Sheet1!E:E,"Figurado")</f>
        <v>0</v>
      </c>
      <c r="E829" s="2">
        <f>SUMIFS([1]Sheet1!D:D,[1]Sheet1!A:A,A829,[1]Sheet1!E:E,"Mallas")</f>
        <v>0</v>
      </c>
      <c r="F829" s="2">
        <f>SUMIFS([1]Sheet1!D:D,[1]Sheet1!A:A,A829,[1]Sheet1!E:E,"Materia Prima")</f>
        <v>34896.6</v>
      </c>
      <c r="G829" s="2">
        <f t="shared" si="48"/>
        <v>0</v>
      </c>
      <c r="H829">
        <f t="shared" si="49"/>
        <v>1</v>
      </c>
      <c r="I829" s="2">
        <f t="shared" si="50"/>
        <v>0</v>
      </c>
      <c r="J829" s="2">
        <f t="shared" si="51"/>
        <v>0</v>
      </c>
    </row>
    <row r="830" spans="1:10" x14ac:dyDescent="0.3">
      <c r="A830">
        <v>1000017844</v>
      </c>
      <c r="B830" s="1">
        <f>VLOOKUP(A830,[1]Sheet1!A:B,2,FALSE)</f>
        <v>40577</v>
      </c>
      <c r="C830" s="2">
        <v>0</v>
      </c>
      <c r="D830" s="2">
        <f>SUMIFS([1]Sheet1!D:D,[1]Sheet1!A:A,A830,[1]Sheet1!E:E,"Figurado")</f>
        <v>1909.8</v>
      </c>
      <c r="E830" s="2">
        <f>SUMIFS([1]Sheet1!D:D,[1]Sheet1!A:A,A830,[1]Sheet1!E:E,"Mallas")</f>
        <v>0</v>
      </c>
      <c r="F830" s="2">
        <f>SUMIFS([1]Sheet1!D:D,[1]Sheet1!A:A,A830,[1]Sheet1!E:E,"Materia Prima")</f>
        <v>0</v>
      </c>
      <c r="G830" s="2">
        <f t="shared" si="48"/>
        <v>0.73453846153846147</v>
      </c>
      <c r="H830">
        <f t="shared" si="49"/>
        <v>1</v>
      </c>
      <c r="I830" s="2">
        <f t="shared" si="50"/>
        <v>0.73453846153846147</v>
      </c>
      <c r="J830" s="2">
        <f t="shared" si="51"/>
        <v>0</v>
      </c>
    </row>
    <row r="831" spans="1:10" x14ac:dyDescent="0.3">
      <c r="A831">
        <v>1000017845</v>
      </c>
      <c r="B831" s="1">
        <f>VLOOKUP(A831,[1]Sheet1!A:B,2,FALSE)</f>
        <v>40577</v>
      </c>
      <c r="C831" s="2">
        <v>0</v>
      </c>
      <c r="D831" s="2">
        <f>SUMIFS([1]Sheet1!D:D,[1]Sheet1!A:A,A831,[1]Sheet1!E:E,"Figurado")</f>
        <v>1381.7</v>
      </c>
      <c r="E831" s="2">
        <f>SUMIFS([1]Sheet1!D:D,[1]Sheet1!A:A,A831,[1]Sheet1!E:E,"Mallas")</f>
        <v>0</v>
      </c>
      <c r="F831" s="2">
        <f>SUMIFS([1]Sheet1!D:D,[1]Sheet1!A:A,A831,[1]Sheet1!E:E,"Materia Prima")</f>
        <v>0</v>
      </c>
      <c r="G831" s="2">
        <f t="shared" si="48"/>
        <v>0.53142307692307689</v>
      </c>
      <c r="H831">
        <f t="shared" si="49"/>
        <v>1</v>
      </c>
      <c r="I831" s="2">
        <f t="shared" si="50"/>
        <v>0.53142307692307689</v>
      </c>
      <c r="J831" s="2">
        <f t="shared" si="51"/>
        <v>0</v>
      </c>
    </row>
    <row r="832" spans="1:10" x14ac:dyDescent="0.3">
      <c r="A832">
        <v>1000017846</v>
      </c>
      <c r="B832" s="1">
        <f>VLOOKUP(A832,[1]Sheet1!A:B,2,FALSE)</f>
        <v>40577</v>
      </c>
      <c r="C832" s="2">
        <v>0</v>
      </c>
      <c r="D832" s="2">
        <f>SUMIFS([1]Sheet1!D:D,[1]Sheet1!A:A,A832,[1]Sheet1!E:E,"Figurado")</f>
        <v>1706.8</v>
      </c>
      <c r="E832" s="2">
        <f>SUMIFS([1]Sheet1!D:D,[1]Sheet1!A:A,A832,[1]Sheet1!E:E,"Mallas")</f>
        <v>0</v>
      </c>
      <c r="F832" s="2">
        <f>SUMIFS([1]Sheet1!D:D,[1]Sheet1!A:A,A832,[1]Sheet1!E:E,"Materia Prima")</f>
        <v>0</v>
      </c>
      <c r="G832" s="2">
        <f t="shared" si="48"/>
        <v>0.65646153846153843</v>
      </c>
      <c r="H832">
        <f t="shared" si="49"/>
        <v>1</v>
      </c>
      <c r="I832" s="2">
        <f t="shared" si="50"/>
        <v>0.65646153846153843</v>
      </c>
      <c r="J832" s="2">
        <f t="shared" si="51"/>
        <v>0</v>
      </c>
    </row>
    <row r="833" spans="1:10" x14ac:dyDescent="0.3">
      <c r="A833">
        <v>1000017847</v>
      </c>
      <c r="B833" s="1">
        <f>VLOOKUP(A833,[1]Sheet1!A:B,2,FALSE)</f>
        <v>40578</v>
      </c>
      <c r="C833" s="2">
        <v>0</v>
      </c>
      <c r="D833" s="2">
        <f>SUMIFS([1]Sheet1!D:D,[1]Sheet1!A:A,A833,[1]Sheet1!E:E,"Figurado")</f>
        <v>2925.2999999999997</v>
      </c>
      <c r="E833" s="2">
        <f>SUMIFS([1]Sheet1!D:D,[1]Sheet1!A:A,A833,[1]Sheet1!E:E,"Mallas")</f>
        <v>0</v>
      </c>
      <c r="F833" s="2">
        <f>SUMIFS([1]Sheet1!D:D,[1]Sheet1!A:A,A833,[1]Sheet1!E:E,"Materia Prima")</f>
        <v>0</v>
      </c>
      <c r="G833" s="2">
        <f t="shared" si="48"/>
        <v>1.1251153846153845</v>
      </c>
      <c r="H833">
        <f t="shared" si="49"/>
        <v>1</v>
      </c>
      <c r="I833" s="2">
        <f t="shared" si="50"/>
        <v>1.1251153846153845</v>
      </c>
      <c r="J833" s="2">
        <f t="shared" si="51"/>
        <v>0</v>
      </c>
    </row>
    <row r="834" spans="1:10" x14ac:dyDescent="0.3">
      <c r="A834">
        <v>1000017848</v>
      </c>
      <c r="B834" s="1">
        <f>VLOOKUP(A834,[1]Sheet1!A:B,2,FALSE)</f>
        <v>40578</v>
      </c>
      <c r="C834" s="2">
        <v>0</v>
      </c>
      <c r="D834" s="2">
        <f>SUMIFS([1]Sheet1!D:D,[1]Sheet1!A:A,A834,[1]Sheet1!E:E,"Figurado")</f>
        <v>4010.1</v>
      </c>
      <c r="E834" s="2">
        <f>SUMIFS([1]Sheet1!D:D,[1]Sheet1!A:A,A834,[1]Sheet1!E:E,"Mallas")</f>
        <v>0</v>
      </c>
      <c r="F834" s="2">
        <f>SUMIFS([1]Sheet1!D:D,[1]Sheet1!A:A,A834,[1]Sheet1!E:E,"Materia Prima")</f>
        <v>0</v>
      </c>
      <c r="G834" s="2">
        <f t="shared" si="48"/>
        <v>1.5423461538461538</v>
      </c>
      <c r="H834">
        <f t="shared" si="49"/>
        <v>1</v>
      </c>
      <c r="I834" s="2">
        <f t="shared" si="50"/>
        <v>1.5423461538461538</v>
      </c>
      <c r="J834" s="2">
        <f t="shared" si="51"/>
        <v>0</v>
      </c>
    </row>
    <row r="835" spans="1:10" x14ac:dyDescent="0.3">
      <c r="A835">
        <v>1000017852</v>
      </c>
      <c r="B835" s="1">
        <f>VLOOKUP(A835,[1]Sheet1!A:B,2,FALSE)</f>
        <v>40578</v>
      </c>
      <c r="C835" s="2">
        <v>0</v>
      </c>
      <c r="D835" s="2">
        <f>SUMIFS([1]Sheet1!D:D,[1]Sheet1!A:A,A835,[1]Sheet1!E:E,"Figurado")</f>
        <v>10909.7</v>
      </c>
      <c r="E835" s="2">
        <f>SUMIFS([1]Sheet1!D:D,[1]Sheet1!A:A,A835,[1]Sheet1!E:E,"Mallas")</f>
        <v>0</v>
      </c>
      <c r="F835" s="2">
        <f>SUMIFS([1]Sheet1!D:D,[1]Sheet1!A:A,A835,[1]Sheet1!E:E,"Materia Prima")</f>
        <v>96</v>
      </c>
      <c r="G835" s="2">
        <f t="shared" ref="G835:G898" si="52">(D835/2600)+(E835/800)</f>
        <v>4.1960384615384614</v>
      </c>
      <c r="H835">
        <f t="shared" ref="H835:H898" si="53">(IF(D835&gt;0,1,0) + IF(E835&gt;0,1,0) + IF(F835&gt;0,1,0))</f>
        <v>2</v>
      </c>
      <c r="I835" s="2">
        <f t="shared" ref="I835:I898" si="54">D835/2600</f>
        <v>4.1960384615384614</v>
      </c>
      <c r="J835" s="2">
        <f t="shared" ref="J835:J898" si="55">E835/800</f>
        <v>0</v>
      </c>
    </row>
    <row r="836" spans="1:10" x14ac:dyDescent="0.3">
      <c r="A836">
        <v>1000017853</v>
      </c>
      <c r="B836" s="1">
        <f>VLOOKUP(A836,[1]Sheet1!A:B,2,FALSE)</f>
        <v>40578</v>
      </c>
      <c r="C836" s="2">
        <v>0</v>
      </c>
      <c r="D836" s="2">
        <f>SUMIFS([1]Sheet1!D:D,[1]Sheet1!A:A,A836,[1]Sheet1!E:E,"Figurado")</f>
        <v>0</v>
      </c>
      <c r="E836" s="2">
        <f>SUMIFS([1]Sheet1!D:D,[1]Sheet1!A:A,A836,[1]Sheet1!E:E,"Mallas")</f>
        <v>8402.4</v>
      </c>
      <c r="F836" s="2">
        <f>SUMIFS([1]Sheet1!D:D,[1]Sheet1!A:A,A836,[1]Sheet1!E:E,"Materia Prima")</f>
        <v>0</v>
      </c>
      <c r="G836" s="2">
        <f t="shared" si="52"/>
        <v>10.503</v>
      </c>
      <c r="H836">
        <f t="shared" si="53"/>
        <v>1</v>
      </c>
      <c r="I836" s="2">
        <f t="shared" si="54"/>
        <v>0</v>
      </c>
      <c r="J836" s="2">
        <f t="shared" si="55"/>
        <v>10.503</v>
      </c>
    </row>
    <row r="837" spans="1:10" x14ac:dyDescent="0.3">
      <c r="A837">
        <v>1000017854</v>
      </c>
      <c r="B837" s="1">
        <f>VLOOKUP(A837,[1]Sheet1!A:B,2,FALSE)</f>
        <v>40578</v>
      </c>
      <c r="C837" s="2">
        <v>0</v>
      </c>
      <c r="D837" s="2">
        <f>SUMIFS([1]Sheet1!D:D,[1]Sheet1!A:A,A837,[1]Sheet1!E:E,"Figurado")</f>
        <v>0</v>
      </c>
      <c r="E837" s="2">
        <f>SUMIFS([1]Sheet1!D:D,[1]Sheet1!A:A,A837,[1]Sheet1!E:E,"Mallas")</f>
        <v>3142</v>
      </c>
      <c r="F837" s="2">
        <f>SUMIFS([1]Sheet1!D:D,[1]Sheet1!A:A,A837,[1]Sheet1!E:E,"Materia Prima")</f>
        <v>0</v>
      </c>
      <c r="G837" s="2">
        <f t="shared" si="52"/>
        <v>3.9275000000000002</v>
      </c>
      <c r="H837">
        <f t="shared" si="53"/>
        <v>1</v>
      </c>
      <c r="I837" s="2">
        <f t="shared" si="54"/>
        <v>0</v>
      </c>
      <c r="J837" s="2">
        <f t="shared" si="55"/>
        <v>3.9275000000000002</v>
      </c>
    </row>
    <row r="838" spans="1:10" x14ac:dyDescent="0.3">
      <c r="A838">
        <v>1000017855</v>
      </c>
      <c r="B838" s="1">
        <f>VLOOKUP(A838,[1]Sheet1!A:B,2,FALSE)</f>
        <v>40578</v>
      </c>
      <c r="C838" s="2">
        <v>0</v>
      </c>
      <c r="D838" s="2">
        <f>SUMIFS([1]Sheet1!D:D,[1]Sheet1!A:A,A838,[1]Sheet1!E:E,"Figurado")</f>
        <v>0</v>
      </c>
      <c r="E838" s="2">
        <f>SUMIFS([1]Sheet1!D:D,[1]Sheet1!A:A,A838,[1]Sheet1!E:E,"Mallas")</f>
        <v>6284.82</v>
      </c>
      <c r="F838" s="2">
        <f>SUMIFS([1]Sheet1!D:D,[1]Sheet1!A:A,A838,[1]Sheet1!E:E,"Materia Prima")</f>
        <v>0</v>
      </c>
      <c r="G838" s="2">
        <f t="shared" si="52"/>
        <v>7.8560249999999998</v>
      </c>
      <c r="H838">
        <f t="shared" si="53"/>
        <v>1</v>
      </c>
      <c r="I838" s="2">
        <f t="shared" si="54"/>
        <v>0</v>
      </c>
      <c r="J838" s="2">
        <f t="shared" si="55"/>
        <v>7.8560249999999998</v>
      </c>
    </row>
    <row r="839" spans="1:10" x14ac:dyDescent="0.3">
      <c r="A839">
        <v>1000017856</v>
      </c>
      <c r="B839" s="1">
        <f>VLOOKUP(A839,[1]Sheet1!A:B,2,FALSE)</f>
        <v>40578</v>
      </c>
      <c r="C839" s="2">
        <v>0</v>
      </c>
      <c r="D839" s="2">
        <f>SUMIFS([1]Sheet1!D:D,[1]Sheet1!A:A,A839,[1]Sheet1!E:E,"Figurado")</f>
        <v>7.5</v>
      </c>
      <c r="E839" s="2">
        <f>SUMIFS([1]Sheet1!D:D,[1]Sheet1!A:A,A839,[1]Sheet1!E:E,"Mallas")</f>
        <v>0</v>
      </c>
      <c r="F839" s="2">
        <f>SUMIFS([1]Sheet1!D:D,[1]Sheet1!A:A,A839,[1]Sheet1!E:E,"Materia Prima")</f>
        <v>0</v>
      </c>
      <c r="G839" s="2">
        <f t="shared" si="52"/>
        <v>2.8846153846153848E-3</v>
      </c>
      <c r="H839">
        <f t="shared" si="53"/>
        <v>1</v>
      </c>
      <c r="I839" s="2">
        <f t="shared" si="54"/>
        <v>2.8846153846153848E-3</v>
      </c>
      <c r="J839" s="2">
        <f t="shared" si="55"/>
        <v>0</v>
      </c>
    </row>
    <row r="840" spans="1:10" x14ac:dyDescent="0.3">
      <c r="A840">
        <v>1000017857</v>
      </c>
      <c r="B840" s="1">
        <f>VLOOKUP(A840,[1]Sheet1!A:B,2,FALSE)</f>
        <v>40578</v>
      </c>
      <c r="C840" s="2">
        <v>0</v>
      </c>
      <c r="D840" s="2">
        <f>SUMIFS([1]Sheet1!D:D,[1]Sheet1!A:A,A840,[1]Sheet1!E:E,"Figurado")</f>
        <v>78.2</v>
      </c>
      <c r="E840" s="2">
        <f>SUMIFS([1]Sheet1!D:D,[1]Sheet1!A:A,A840,[1]Sheet1!E:E,"Mallas")</f>
        <v>0</v>
      </c>
      <c r="F840" s="2">
        <f>SUMIFS([1]Sheet1!D:D,[1]Sheet1!A:A,A840,[1]Sheet1!E:E,"Materia Prima")</f>
        <v>0</v>
      </c>
      <c r="G840" s="2">
        <f t="shared" si="52"/>
        <v>3.0076923076923077E-2</v>
      </c>
      <c r="H840">
        <f t="shared" si="53"/>
        <v>1</v>
      </c>
      <c r="I840" s="2">
        <f t="shared" si="54"/>
        <v>3.0076923076923077E-2</v>
      </c>
      <c r="J840" s="2">
        <f t="shared" si="55"/>
        <v>0</v>
      </c>
    </row>
    <row r="841" spans="1:10" x14ac:dyDescent="0.3">
      <c r="A841">
        <v>1000017859</v>
      </c>
      <c r="B841" s="1">
        <f>VLOOKUP(A841,[1]Sheet1!A:B,2,FALSE)</f>
        <v>40578</v>
      </c>
      <c r="C841" s="2">
        <v>0</v>
      </c>
      <c r="D841" s="2">
        <f>SUMIFS([1]Sheet1!D:D,[1]Sheet1!A:A,A841,[1]Sheet1!E:E,"Figurado")</f>
        <v>0</v>
      </c>
      <c r="E841" s="2">
        <f>SUMIFS([1]Sheet1!D:D,[1]Sheet1!A:A,A841,[1]Sheet1!E:E,"Mallas")</f>
        <v>0</v>
      </c>
      <c r="F841" s="2">
        <f>SUMIFS([1]Sheet1!D:D,[1]Sheet1!A:A,A841,[1]Sheet1!E:E,"Materia Prima")</f>
        <v>792</v>
      </c>
      <c r="G841" s="2">
        <f t="shared" si="52"/>
        <v>0</v>
      </c>
      <c r="H841">
        <f t="shared" si="53"/>
        <v>1</v>
      </c>
      <c r="I841" s="2">
        <f t="shared" si="54"/>
        <v>0</v>
      </c>
      <c r="J841" s="2">
        <f t="shared" si="55"/>
        <v>0</v>
      </c>
    </row>
    <row r="842" spans="1:10" x14ac:dyDescent="0.3">
      <c r="A842">
        <v>1000017860</v>
      </c>
      <c r="B842" s="1">
        <f>VLOOKUP(A842,[1]Sheet1!A:B,2,FALSE)</f>
        <v>40578</v>
      </c>
      <c r="C842" s="2">
        <v>0</v>
      </c>
      <c r="D842" s="2">
        <f>SUMIFS([1]Sheet1!D:D,[1]Sheet1!A:A,A842,[1]Sheet1!E:E,"Figurado")</f>
        <v>0</v>
      </c>
      <c r="E842" s="2">
        <f>SUMIFS([1]Sheet1!D:D,[1]Sheet1!A:A,A842,[1]Sheet1!E:E,"Mallas")</f>
        <v>0</v>
      </c>
      <c r="F842" s="2">
        <f>SUMIFS([1]Sheet1!D:D,[1]Sheet1!A:A,A842,[1]Sheet1!E:E,"Materia Prima")</f>
        <v>8004</v>
      </c>
      <c r="G842" s="2">
        <f t="shared" si="52"/>
        <v>0</v>
      </c>
      <c r="H842">
        <f t="shared" si="53"/>
        <v>1</v>
      </c>
      <c r="I842" s="2">
        <f t="shared" si="54"/>
        <v>0</v>
      </c>
      <c r="J842" s="2">
        <f t="shared" si="55"/>
        <v>0</v>
      </c>
    </row>
    <row r="843" spans="1:10" x14ac:dyDescent="0.3">
      <c r="A843">
        <v>1000017861</v>
      </c>
      <c r="B843" s="1">
        <f>VLOOKUP(A843,[1]Sheet1!A:B,2,FALSE)</f>
        <v>40578</v>
      </c>
      <c r="C843" s="2">
        <v>0</v>
      </c>
      <c r="D843" s="2">
        <f>SUMIFS([1]Sheet1!D:D,[1]Sheet1!A:A,A843,[1]Sheet1!E:E,"Figurado")</f>
        <v>7474.8</v>
      </c>
      <c r="E843" s="2">
        <f>SUMIFS([1]Sheet1!D:D,[1]Sheet1!A:A,A843,[1]Sheet1!E:E,"Mallas")</f>
        <v>0</v>
      </c>
      <c r="F843" s="2">
        <f>SUMIFS([1]Sheet1!D:D,[1]Sheet1!A:A,A843,[1]Sheet1!E:E,"Materia Prima")</f>
        <v>0</v>
      </c>
      <c r="G843" s="2">
        <f t="shared" si="52"/>
        <v>2.8749230769230771</v>
      </c>
      <c r="H843">
        <f t="shared" si="53"/>
        <v>1</v>
      </c>
      <c r="I843" s="2">
        <f t="shared" si="54"/>
        <v>2.8749230769230771</v>
      </c>
      <c r="J843" s="2">
        <f t="shared" si="55"/>
        <v>0</v>
      </c>
    </row>
    <row r="844" spans="1:10" x14ac:dyDescent="0.3">
      <c r="A844">
        <v>1000017862</v>
      </c>
      <c r="B844" s="1">
        <f>VLOOKUP(A844,[1]Sheet1!A:B,2,FALSE)</f>
        <v>40578</v>
      </c>
      <c r="C844" s="2">
        <v>0</v>
      </c>
      <c r="D844" s="2">
        <f>SUMIFS([1]Sheet1!D:D,[1]Sheet1!A:A,A844,[1]Sheet1!E:E,"Figurado")</f>
        <v>6240</v>
      </c>
      <c r="E844" s="2">
        <f>SUMIFS([1]Sheet1!D:D,[1]Sheet1!A:A,A844,[1]Sheet1!E:E,"Mallas")</f>
        <v>0</v>
      </c>
      <c r="F844" s="2">
        <f>SUMIFS([1]Sheet1!D:D,[1]Sheet1!A:A,A844,[1]Sheet1!E:E,"Materia Prima")</f>
        <v>3815</v>
      </c>
      <c r="G844" s="2">
        <f t="shared" si="52"/>
        <v>2.4</v>
      </c>
      <c r="H844">
        <f t="shared" si="53"/>
        <v>2</v>
      </c>
      <c r="I844" s="2">
        <f t="shared" si="54"/>
        <v>2.4</v>
      </c>
      <c r="J844" s="2">
        <f t="shared" si="55"/>
        <v>0</v>
      </c>
    </row>
    <row r="845" spans="1:10" x14ac:dyDescent="0.3">
      <c r="A845">
        <v>1000017863</v>
      </c>
      <c r="B845" s="1">
        <f>VLOOKUP(A845,[1]Sheet1!A:B,2,FALSE)</f>
        <v>40578</v>
      </c>
      <c r="C845" s="2">
        <v>0</v>
      </c>
      <c r="D845" s="2">
        <f>SUMIFS([1]Sheet1!D:D,[1]Sheet1!A:A,A845,[1]Sheet1!E:E,"Figurado")</f>
        <v>12047.400000000001</v>
      </c>
      <c r="E845" s="2">
        <f>SUMIFS([1]Sheet1!D:D,[1]Sheet1!A:A,A845,[1]Sheet1!E:E,"Mallas")</f>
        <v>0</v>
      </c>
      <c r="F845" s="2">
        <f>SUMIFS([1]Sheet1!D:D,[1]Sheet1!A:A,A845,[1]Sheet1!E:E,"Materia Prima")</f>
        <v>374.4</v>
      </c>
      <c r="G845" s="2">
        <f t="shared" si="52"/>
        <v>4.6336153846153856</v>
      </c>
      <c r="H845">
        <f t="shared" si="53"/>
        <v>2</v>
      </c>
      <c r="I845" s="2">
        <f t="shared" si="54"/>
        <v>4.6336153846153856</v>
      </c>
      <c r="J845" s="2">
        <f t="shared" si="55"/>
        <v>0</v>
      </c>
    </row>
    <row r="846" spans="1:10" x14ac:dyDescent="0.3">
      <c r="A846">
        <v>1000017864</v>
      </c>
      <c r="B846" s="1">
        <f>VLOOKUP(A846,[1]Sheet1!A:B,2,FALSE)</f>
        <v>40578</v>
      </c>
      <c r="C846" s="2">
        <v>0</v>
      </c>
      <c r="D846" s="2">
        <f>SUMIFS([1]Sheet1!D:D,[1]Sheet1!A:A,A846,[1]Sheet1!E:E,"Figurado")</f>
        <v>0</v>
      </c>
      <c r="E846" s="2">
        <f>SUMIFS([1]Sheet1!D:D,[1]Sheet1!A:A,A846,[1]Sheet1!E:E,"Mallas")</f>
        <v>0</v>
      </c>
      <c r="F846" s="2">
        <f>SUMIFS([1]Sheet1!D:D,[1]Sheet1!A:A,A846,[1]Sheet1!E:E,"Materia Prima")</f>
        <v>9000</v>
      </c>
      <c r="G846" s="2">
        <f t="shared" si="52"/>
        <v>0</v>
      </c>
      <c r="H846">
        <f t="shared" si="53"/>
        <v>1</v>
      </c>
      <c r="I846" s="2">
        <f t="shared" si="54"/>
        <v>0</v>
      </c>
      <c r="J846" s="2">
        <f t="shared" si="55"/>
        <v>0</v>
      </c>
    </row>
    <row r="847" spans="1:10" x14ac:dyDescent="0.3">
      <c r="A847">
        <v>1000017865</v>
      </c>
      <c r="B847" s="1">
        <f>VLOOKUP(A847,[1]Sheet1!A:B,2,FALSE)</f>
        <v>40578</v>
      </c>
      <c r="C847" s="2">
        <v>0</v>
      </c>
      <c r="D847" s="2">
        <f>SUMIFS([1]Sheet1!D:D,[1]Sheet1!A:A,A847,[1]Sheet1!E:E,"Figurado")</f>
        <v>768</v>
      </c>
      <c r="E847" s="2">
        <f>SUMIFS([1]Sheet1!D:D,[1]Sheet1!A:A,A847,[1]Sheet1!E:E,"Mallas")</f>
        <v>0</v>
      </c>
      <c r="F847" s="2">
        <f>SUMIFS([1]Sheet1!D:D,[1]Sheet1!A:A,A847,[1]Sheet1!E:E,"Materia Prima")</f>
        <v>0</v>
      </c>
      <c r="G847" s="2">
        <f t="shared" si="52"/>
        <v>0.29538461538461541</v>
      </c>
      <c r="H847">
        <f t="shared" si="53"/>
        <v>1</v>
      </c>
      <c r="I847" s="2">
        <f t="shared" si="54"/>
        <v>0.29538461538461541</v>
      </c>
      <c r="J847" s="2">
        <f t="shared" si="55"/>
        <v>0</v>
      </c>
    </row>
    <row r="848" spans="1:10" x14ac:dyDescent="0.3">
      <c r="A848">
        <v>1000017866</v>
      </c>
      <c r="B848" s="1">
        <f>VLOOKUP(A848,[1]Sheet1!A:B,2,FALSE)</f>
        <v>40578</v>
      </c>
      <c r="C848" s="2">
        <v>0</v>
      </c>
      <c r="D848" s="2">
        <f>SUMIFS([1]Sheet1!D:D,[1]Sheet1!A:A,A848,[1]Sheet1!E:E,"Figurado")</f>
        <v>0</v>
      </c>
      <c r="E848" s="2">
        <f>SUMIFS([1]Sheet1!D:D,[1]Sheet1!A:A,A848,[1]Sheet1!E:E,"Mallas")</f>
        <v>0</v>
      </c>
      <c r="F848" s="2">
        <f>SUMIFS([1]Sheet1!D:D,[1]Sheet1!A:A,A848,[1]Sheet1!E:E,"Materia Prima")</f>
        <v>192.1</v>
      </c>
      <c r="G848" s="2">
        <f t="shared" si="52"/>
        <v>0</v>
      </c>
      <c r="H848">
        <f t="shared" si="53"/>
        <v>1</v>
      </c>
      <c r="I848" s="2">
        <f t="shared" si="54"/>
        <v>0</v>
      </c>
      <c r="J848" s="2">
        <f t="shared" si="55"/>
        <v>0</v>
      </c>
    </row>
    <row r="849" spans="1:10" x14ac:dyDescent="0.3">
      <c r="A849">
        <v>1000017867</v>
      </c>
      <c r="B849" s="1">
        <f>VLOOKUP(A849,[1]Sheet1!A:B,2,FALSE)</f>
        <v>40578</v>
      </c>
      <c r="C849" s="2">
        <v>0</v>
      </c>
      <c r="D849" s="2">
        <f>SUMIFS([1]Sheet1!D:D,[1]Sheet1!A:A,A849,[1]Sheet1!E:E,"Figurado")</f>
        <v>0</v>
      </c>
      <c r="E849" s="2">
        <f>SUMIFS([1]Sheet1!D:D,[1]Sheet1!A:A,A849,[1]Sheet1!E:E,"Mallas")</f>
        <v>0</v>
      </c>
      <c r="F849" s="2">
        <f>SUMIFS([1]Sheet1!D:D,[1]Sheet1!A:A,A849,[1]Sheet1!E:E,"Materia Prima")</f>
        <v>148</v>
      </c>
      <c r="G849" s="2">
        <f t="shared" si="52"/>
        <v>0</v>
      </c>
      <c r="H849">
        <f t="shared" si="53"/>
        <v>1</v>
      </c>
      <c r="I849" s="2">
        <f t="shared" si="54"/>
        <v>0</v>
      </c>
      <c r="J849" s="2">
        <f t="shared" si="55"/>
        <v>0</v>
      </c>
    </row>
    <row r="850" spans="1:10" x14ac:dyDescent="0.3">
      <c r="A850">
        <v>1000017868</v>
      </c>
      <c r="B850" s="1">
        <f>VLOOKUP(A850,[1]Sheet1!A:B,2,FALSE)</f>
        <v>40578</v>
      </c>
      <c r="C850" s="2">
        <v>0</v>
      </c>
      <c r="D850" s="2">
        <f>SUMIFS([1]Sheet1!D:D,[1]Sheet1!A:A,A850,[1]Sheet1!E:E,"Figurado")</f>
        <v>0</v>
      </c>
      <c r="E850" s="2">
        <f>SUMIFS([1]Sheet1!D:D,[1]Sheet1!A:A,A850,[1]Sheet1!E:E,"Mallas")</f>
        <v>0</v>
      </c>
      <c r="F850" s="2">
        <f>SUMIFS([1]Sheet1!D:D,[1]Sheet1!A:A,A850,[1]Sheet1!E:E,"Materia Prima")</f>
        <v>100</v>
      </c>
      <c r="G850" s="2">
        <f t="shared" si="52"/>
        <v>0</v>
      </c>
      <c r="H850">
        <f t="shared" si="53"/>
        <v>1</v>
      </c>
      <c r="I850" s="2">
        <f t="shared" si="54"/>
        <v>0</v>
      </c>
      <c r="J850" s="2">
        <f t="shared" si="55"/>
        <v>0</v>
      </c>
    </row>
    <row r="851" spans="1:10" x14ac:dyDescent="0.3">
      <c r="A851">
        <v>1000017869</v>
      </c>
      <c r="B851" s="1">
        <f>VLOOKUP(A851,[1]Sheet1!A:B,2,FALSE)</f>
        <v>40578</v>
      </c>
      <c r="C851" s="2">
        <v>0</v>
      </c>
      <c r="D851" s="2">
        <f>SUMIFS([1]Sheet1!D:D,[1]Sheet1!A:A,A851,[1]Sheet1!E:E,"Figurado")</f>
        <v>0</v>
      </c>
      <c r="E851" s="2">
        <f>SUMIFS([1]Sheet1!D:D,[1]Sheet1!A:A,A851,[1]Sheet1!E:E,"Mallas")</f>
        <v>0</v>
      </c>
      <c r="F851" s="2">
        <f>SUMIFS([1]Sheet1!D:D,[1]Sheet1!A:A,A851,[1]Sheet1!E:E,"Materia Prima")</f>
        <v>366</v>
      </c>
      <c r="G851" s="2">
        <f t="shared" si="52"/>
        <v>0</v>
      </c>
      <c r="H851">
        <f t="shared" si="53"/>
        <v>1</v>
      </c>
      <c r="I851" s="2">
        <f t="shared" si="54"/>
        <v>0</v>
      </c>
      <c r="J851" s="2">
        <f t="shared" si="55"/>
        <v>0</v>
      </c>
    </row>
    <row r="852" spans="1:10" x14ac:dyDescent="0.3">
      <c r="A852">
        <v>1000017870</v>
      </c>
      <c r="B852" s="1">
        <f>VLOOKUP(A852,[1]Sheet1!A:B,2,FALSE)</f>
        <v>40578</v>
      </c>
      <c r="C852" s="2">
        <v>0</v>
      </c>
      <c r="D852" s="2">
        <f>SUMIFS([1]Sheet1!D:D,[1]Sheet1!A:A,A852,[1]Sheet1!E:E,"Figurado")</f>
        <v>0</v>
      </c>
      <c r="E852" s="2">
        <f>SUMIFS([1]Sheet1!D:D,[1]Sheet1!A:A,A852,[1]Sheet1!E:E,"Mallas")</f>
        <v>940.5</v>
      </c>
      <c r="F852" s="2">
        <f>SUMIFS([1]Sheet1!D:D,[1]Sheet1!A:A,A852,[1]Sheet1!E:E,"Materia Prima")</f>
        <v>0</v>
      </c>
      <c r="G852" s="2">
        <f t="shared" si="52"/>
        <v>1.1756249999999999</v>
      </c>
      <c r="H852">
        <f t="shared" si="53"/>
        <v>1</v>
      </c>
      <c r="I852" s="2">
        <f t="shared" si="54"/>
        <v>0</v>
      </c>
      <c r="J852" s="2">
        <f t="shared" si="55"/>
        <v>1.1756249999999999</v>
      </c>
    </row>
    <row r="853" spans="1:10" x14ac:dyDescent="0.3">
      <c r="A853">
        <v>1000017872</v>
      </c>
      <c r="B853" s="1">
        <f>VLOOKUP(A853,[1]Sheet1!A:B,2,FALSE)</f>
        <v>40578</v>
      </c>
      <c r="C853" s="2">
        <v>0</v>
      </c>
      <c r="D853" s="2">
        <f>SUMIFS([1]Sheet1!D:D,[1]Sheet1!A:A,A853,[1]Sheet1!E:E,"Figurado")</f>
        <v>4243.6000000000004</v>
      </c>
      <c r="E853" s="2">
        <f>SUMIFS([1]Sheet1!D:D,[1]Sheet1!A:A,A853,[1]Sheet1!E:E,"Mallas")</f>
        <v>0</v>
      </c>
      <c r="F853" s="2">
        <f>SUMIFS([1]Sheet1!D:D,[1]Sheet1!A:A,A853,[1]Sheet1!E:E,"Materia Prima")</f>
        <v>0</v>
      </c>
      <c r="G853" s="2">
        <f t="shared" si="52"/>
        <v>1.6321538461538463</v>
      </c>
      <c r="H853">
        <f t="shared" si="53"/>
        <v>1</v>
      </c>
      <c r="I853" s="2">
        <f t="shared" si="54"/>
        <v>1.6321538461538463</v>
      </c>
      <c r="J853" s="2">
        <f t="shared" si="55"/>
        <v>0</v>
      </c>
    </row>
    <row r="854" spans="1:10" x14ac:dyDescent="0.3">
      <c r="A854">
        <v>1000017874</v>
      </c>
      <c r="B854" s="1">
        <f>VLOOKUP(A854,[1]Sheet1!A:B,2,FALSE)</f>
        <v>40578</v>
      </c>
      <c r="C854" s="2">
        <v>0</v>
      </c>
      <c r="D854" s="2">
        <f>SUMIFS([1]Sheet1!D:D,[1]Sheet1!A:A,A854,[1]Sheet1!E:E,"Figurado")</f>
        <v>5770.6</v>
      </c>
      <c r="E854" s="2">
        <f>SUMIFS([1]Sheet1!D:D,[1]Sheet1!A:A,A854,[1]Sheet1!E:E,"Mallas")</f>
        <v>0</v>
      </c>
      <c r="F854" s="2">
        <f>SUMIFS([1]Sheet1!D:D,[1]Sheet1!A:A,A854,[1]Sheet1!E:E,"Materia Prima")</f>
        <v>0</v>
      </c>
      <c r="G854" s="2">
        <f t="shared" si="52"/>
        <v>2.2194615384615388</v>
      </c>
      <c r="H854">
        <f t="shared" si="53"/>
        <v>1</v>
      </c>
      <c r="I854" s="2">
        <f t="shared" si="54"/>
        <v>2.2194615384615388</v>
      </c>
      <c r="J854" s="2">
        <f t="shared" si="55"/>
        <v>0</v>
      </c>
    </row>
    <row r="855" spans="1:10" x14ac:dyDescent="0.3">
      <c r="A855">
        <v>1000017879</v>
      </c>
      <c r="B855" s="1">
        <f>VLOOKUP(A855,[1]Sheet1!A:B,2,FALSE)</f>
        <v>40579</v>
      </c>
      <c r="C855" s="2">
        <v>0</v>
      </c>
      <c r="D855" s="2">
        <f>SUMIFS([1]Sheet1!D:D,[1]Sheet1!A:A,A855,[1]Sheet1!E:E,"Figurado")</f>
        <v>0</v>
      </c>
      <c r="E855" s="2">
        <f>SUMIFS([1]Sheet1!D:D,[1]Sheet1!A:A,A855,[1]Sheet1!E:E,"Mallas")</f>
        <v>10548.8</v>
      </c>
      <c r="F855" s="2">
        <f>SUMIFS([1]Sheet1!D:D,[1]Sheet1!A:A,A855,[1]Sheet1!E:E,"Materia Prima")</f>
        <v>0</v>
      </c>
      <c r="G855" s="2">
        <f t="shared" si="52"/>
        <v>13.186</v>
      </c>
      <c r="H855">
        <f t="shared" si="53"/>
        <v>1</v>
      </c>
      <c r="I855" s="2">
        <f t="shared" si="54"/>
        <v>0</v>
      </c>
      <c r="J855" s="2">
        <f t="shared" si="55"/>
        <v>13.186</v>
      </c>
    </row>
    <row r="856" spans="1:10" x14ac:dyDescent="0.3">
      <c r="A856">
        <v>1000017880</v>
      </c>
      <c r="B856" s="1">
        <f>VLOOKUP(A856,[1]Sheet1!A:B,2,FALSE)</f>
        <v>40579</v>
      </c>
      <c r="C856" s="2">
        <v>0</v>
      </c>
      <c r="D856" s="2">
        <f>SUMIFS([1]Sheet1!D:D,[1]Sheet1!A:A,A856,[1]Sheet1!E:E,"Figurado")</f>
        <v>0</v>
      </c>
      <c r="E856" s="2">
        <f>SUMIFS([1]Sheet1!D:D,[1]Sheet1!A:A,A856,[1]Sheet1!E:E,"Mallas")</f>
        <v>0</v>
      </c>
      <c r="F856" s="2">
        <f>SUMIFS([1]Sheet1!D:D,[1]Sheet1!A:A,A856,[1]Sheet1!E:E,"Materia Prima")</f>
        <v>10576.8</v>
      </c>
      <c r="G856" s="2">
        <f t="shared" si="52"/>
        <v>0</v>
      </c>
      <c r="H856">
        <f t="shared" si="53"/>
        <v>1</v>
      </c>
      <c r="I856" s="2">
        <f t="shared" si="54"/>
        <v>0</v>
      </c>
      <c r="J856" s="2">
        <f t="shared" si="55"/>
        <v>0</v>
      </c>
    </row>
    <row r="857" spans="1:10" x14ac:dyDescent="0.3">
      <c r="A857">
        <v>1000017881</v>
      </c>
      <c r="B857" s="1">
        <f>VLOOKUP(A857,[1]Sheet1!A:B,2,FALSE)</f>
        <v>40579</v>
      </c>
      <c r="C857" s="2">
        <v>0</v>
      </c>
      <c r="D857" s="2">
        <f>SUMIFS([1]Sheet1!D:D,[1]Sheet1!A:A,A857,[1]Sheet1!E:E,"Figurado")</f>
        <v>1763.8</v>
      </c>
      <c r="E857" s="2">
        <f>SUMIFS([1]Sheet1!D:D,[1]Sheet1!A:A,A857,[1]Sheet1!E:E,"Mallas")</f>
        <v>0</v>
      </c>
      <c r="F857" s="2">
        <f>SUMIFS([1]Sheet1!D:D,[1]Sheet1!A:A,A857,[1]Sheet1!E:E,"Materia Prima")</f>
        <v>0</v>
      </c>
      <c r="G857" s="2">
        <f t="shared" si="52"/>
        <v>0.67838461538461536</v>
      </c>
      <c r="H857">
        <f t="shared" si="53"/>
        <v>1</v>
      </c>
      <c r="I857" s="2">
        <f t="shared" si="54"/>
        <v>0.67838461538461536</v>
      </c>
      <c r="J857" s="2">
        <f t="shared" si="55"/>
        <v>0</v>
      </c>
    </row>
    <row r="858" spans="1:10" x14ac:dyDescent="0.3">
      <c r="A858">
        <v>1000017882</v>
      </c>
      <c r="B858" s="1">
        <f>VLOOKUP(A858,[1]Sheet1!A:B,2,FALSE)</f>
        <v>40579</v>
      </c>
      <c r="C858" s="2">
        <v>0</v>
      </c>
      <c r="D858" s="2">
        <f>SUMIFS([1]Sheet1!D:D,[1]Sheet1!A:A,A858,[1]Sheet1!E:E,"Figurado")</f>
        <v>1548.4</v>
      </c>
      <c r="E858" s="2">
        <f>SUMIFS([1]Sheet1!D:D,[1]Sheet1!A:A,A858,[1]Sheet1!E:E,"Mallas")</f>
        <v>0</v>
      </c>
      <c r="F858" s="2">
        <f>SUMIFS([1]Sheet1!D:D,[1]Sheet1!A:A,A858,[1]Sheet1!E:E,"Materia Prima")</f>
        <v>780.1</v>
      </c>
      <c r="G858" s="2">
        <f t="shared" si="52"/>
        <v>0.59553846153846157</v>
      </c>
      <c r="H858">
        <f t="shared" si="53"/>
        <v>2</v>
      </c>
      <c r="I858" s="2">
        <f t="shared" si="54"/>
        <v>0.59553846153846157</v>
      </c>
      <c r="J858" s="2">
        <f t="shared" si="55"/>
        <v>0</v>
      </c>
    </row>
    <row r="859" spans="1:10" x14ac:dyDescent="0.3">
      <c r="A859">
        <v>1000017883</v>
      </c>
      <c r="B859" s="1">
        <f>VLOOKUP(A859,[1]Sheet1!A:B,2,FALSE)</f>
        <v>40579</v>
      </c>
      <c r="C859" s="2">
        <v>0</v>
      </c>
      <c r="D859" s="2">
        <f>SUMIFS([1]Sheet1!D:D,[1]Sheet1!A:A,A859,[1]Sheet1!E:E,"Figurado")</f>
        <v>5110.8</v>
      </c>
      <c r="E859" s="2">
        <f>SUMIFS([1]Sheet1!D:D,[1]Sheet1!A:A,A859,[1]Sheet1!E:E,"Mallas")</f>
        <v>0</v>
      </c>
      <c r="F859" s="2">
        <f>SUMIFS([1]Sheet1!D:D,[1]Sheet1!A:A,A859,[1]Sheet1!E:E,"Materia Prima")</f>
        <v>0</v>
      </c>
      <c r="G859" s="2">
        <f t="shared" si="52"/>
        <v>1.9656923076923078</v>
      </c>
      <c r="H859">
        <f t="shared" si="53"/>
        <v>1</v>
      </c>
      <c r="I859" s="2">
        <f t="shared" si="54"/>
        <v>1.9656923076923078</v>
      </c>
      <c r="J859" s="2">
        <f t="shared" si="55"/>
        <v>0</v>
      </c>
    </row>
    <row r="860" spans="1:10" x14ac:dyDescent="0.3">
      <c r="A860">
        <v>1000017884</v>
      </c>
      <c r="B860" s="1">
        <f>VLOOKUP(A860,[1]Sheet1!A:B,2,FALSE)</f>
        <v>40579</v>
      </c>
      <c r="C860" s="2">
        <v>0</v>
      </c>
      <c r="D860" s="2">
        <f>SUMIFS([1]Sheet1!D:D,[1]Sheet1!A:A,A860,[1]Sheet1!E:E,"Figurado")</f>
        <v>9640.2999999999993</v>
      </c>
      <c r="E860" s="2">
        <f>SUMIFS([1]Sheet1!D:D,[1]Sheet1!A:A,A860,[1]Sheet1!E:E,"Mallas")</f>
        <v>0</v>
      </c>
      <c r="F860" s="2">
        <f>SUMIFS([1]Sheet1!D:D,[1]Sheet1!A:A,A860,[1]Sheet1!E:E,"Materia Prima")</f>
        <v>0</v>
      </c>
      <c r="G860" s="2">
        <f t="shared" si="52"/>
        <v>3.7078076923076919</v>
      </c>
      <c r="H860">
        <f t="shared" si="53"/>
        <v>1</v>
      </c>
      <c r="I860" s="2">
        <f t="shared" si="54"/>
        <v>3.7078076923076919</v>
      </c>
      <c r="J860" s="2">
        <f t="shared" si="55"/>
        <v>0</v>
      </c>
    </row>
    <row r="861" spans="1:10" x14ac:dyDescent="0.3">
      <c r="A861">
        <v>1000017885</v>
      </c>
      <c r="B861" s="1">
        <f>VLOOKUP(A861,[1]Sheet1!A:B,2,FALSE)</f>
        <v>40579</v>
      </c>
      <c r="C861" s="2">
        <v>0</v>
      </c>
      <c r="D861" s="2">
        <f>SUMIFS([1]Sheet1!D:D,[1]Sheet1!A:A,A861,[1]Sheet1!E:E,"Figurado")</f>
        <v>11742.1</v>
      </c>
      <c r="E861" s="2">
        <f>SUMIFS([1]Sheet1!D:D,[1]Sheet1!A:A,A861,[1]Sheet1!E:E,"Mallas")</f>
        <v>0</v>
      </c>
      <c r="F861" s="2">
        <f>SUMIFS([1]Sheet1!D:D,[1]Sheet1!A:A,A861,[1]Sheet1!E:E,"Materia Prima")</f>
        <v>0</v>
      </c>
      <c r="G861" s="2">
        <f t="shared" si="52"/>
        <v>4.5161923076923074</v>
      </c>
      <c r="H861">
        <f t="shared" si="53"/>
        <v>1</v>
      </c>
      <c r="I861" s="2">
        <f t="shared" si="54"/>
        <v>4.5161923076923074</v>
      </c>
      <c r="J861" s="2">
        <f t="shared" si="55"/>
        <v>0</v>
      </c>
    </row>
    <row r="862" spans="1:10" x14ac:dyDescent="0.3">
      <c r="A862">
        <v>1000017888</v>
      </c>
      <c r="B862" s="1">
        <f>VLOOKUP(A862,[1]Sheet1!A:B,2,FALSE)</f>
        <v>40579</v>
      </c>
      <c r="C862" s="2">
        <v>0</v>
      </c>
      <c r="D862" s="2">
        <f>SUMIFS([1]Sheet1!D:D,[1]Sheet1!A:A,A862,[1]Sheet1!E:E,"Figurado")</f>
        <v>10911.9</v>
      </c>
      <c r="E862" s="2">
        <f>SUMIFS([1]Sheet1!D:D,[1]Sheet1!A:A,A862,[1]Sheet1!E:E,"Mallas")</f>
        <v>0</v>
      </c>
      <c r="F862" s="2">
        <f>SUMIFS([1]Sheet1!D:D,[1]Sheet1!A:A,A862,[1]Sheet1!E:E,"Materia Prima")</f>
        <v>0</v>
      </c>
      <c r="G862" s="2">
        <f t="shared" si="52"/>
        <v>4.1968846153846151</v>
      </c>
      <c r="H862">
        <f t="shared" si="53"/>
        <v>1</v>
      </c>
      <c r="I862" s="2">
        <f t="shared" si="54"/>
        <v>4.1968846153846151</v>
      </c>
      <c r="J862" s="2">
        <f t="shared" si="55"/>
        <v>0</v>
      </c>
    </row>
    <row r="863" spans="1:10" x14ac:dyDescent="0.3">
      <c r="A863">
        <v>1000017903</v>
      </c>
      <c r="B863" s="1">
        <f>VLOOKUP(A863,[1]Sheet1!A:B,2,FALSE)</f>
        <v>40579</v>
      </c>
      <c r="C863" s="2">
        <v>0</v>
      </c>
      <c r="D863" s="2">
        <f>SUMIFS([1]Sheet1!D:D,[1]Sheet1!A:A,A863,[1]Sheet1!E:E,"Figurado")</f>
        <v>0</v>
      </c>
      <c r="E863" s="2">
        <f>SUMIFS([1]Sheet1!D:D,[1]Sheet1!A:A,A863,[1]Sheet1!E:E,"Mallas")</f>
        <v>0</v>
      </c>
      <c r="F863" s="2">
        <f>SUMIFS([1]Sheet1!D:D,[1]Sheet1!A:A,A863,[1]Sheet1!E:E,"Materia Prima")</f>
        <v>4800</v>
      </c>
      <c r="G863" s="2">
        <f t="shared" si="52"/>
        <v>0</v>
      </c>
      <c r="H863">
        <f t="shared" si="53"/>
        <v>1</v>
      </c>
      <c r="I863" s="2">
        <f t="shared" si="54"/>
        <v>0</v>
      </c>
      <c r="J863" s="2">
        <f t="shared" si="55"/>
        <v>0</v>
      </c>
    </row>
    <row r="864" spans="1:10" x14ac:dyDescent="0.3">
      <c r="A864">
        <v>1000017904</v>
      </c>
      <c r="B864" s="1">
        <f>VLOOKUP(A864,[1]Sheet1!A:B,2,FALSE)</f>
        <v>40579</v>
      </c>
      <c r="C864" s="2">
        <v>0</v>
      </c>
      <c r="D864" s="2">
        <f>SUMIFS([1]Sheet1!D:D,[1]Sheet1!A:A,A864,[1]Sheet1!E:E,"Figurado")</f>
        <v>0</v>
      </c>
      <c r="E864" s="2">
        <f>SUMIFS([1]Sheet1!D:D,[1]Sheet1!A:A,A864,[1]Sheet1!E:E,"Mallas")</f>
        <v>0</v>
      </c>
      <c r="F864" s="2">
        <f>SUMIFS([1]Sheet1!D:D,[1]Sheet1!A:A,A864,[1]Sheet1!E:E,"Materia Prima")</f>
        <v>35008</v>
      </c>
      <c r="G864" s="2">
        <f t="shared" si="52"/>
        <v>0</v>
      </c>
      <c r="H864">
        <f t="shared" si="53"/>
        <v>1</v>
      </c>
      <c r="I864" s="2">
        <f t="shared" si="54"/>
        <v>0</v>
      </c>
      <c r="J864" s="2">
        <f t="shared" si="55"/>
        <v>0</v>
      </c>
    </row>
    <row r="865" spans="1:10" x14ac:dyDescent="0.3">
      <c r="A865">
        <v>1000017905</v>
      </c>
      <c r="B865" s="1">
        <f>VLOOKUP(A865,[1]Sheet1!A:B,2,FALSE)</f>
        <v>40579</v>
      </c>
      <c r="C865" s="2">
        <v>0</v>
      </c>
      <c r="D865" s="2">
        <f>SUMIFS([1]Sheet1!D:D,[1]Sheet1!A:A,A865,[1]Sheet1!E:E,"Figurado")</f>
        <v>0</v>
      </c>
      <c r="E865" s="2">
        <f>SUMIFS([1]Sheet1!D:D,[1]Sheet1!A:A,A865,[1]Sheet1!E:E,"Mallas")</f>
        <v>0</v>
      </c>
      <c r="F865" s="2">
        <f>SUMIFS([1]Sheet1!D:D,[1]Sheet1!A:A,A865,[1]Sheet1!E:E,"Materia Prima")</f>
        <v>34467</v>
      </c>
      <c r="G865" s="2">
        <f t="shared" si="52"/>
        <v>0</v>
      </c>
      <c r="H865">
        <f t="shared" si="53"/>
        <v>1</v>
      </c>
      <c r="I865" s="2">
        <f t="shared" si="54"/>
        <v>0</v>
      </c>
      <c r="J865" s="2">
        <f t="shared" si="55"/>
        <v>0</v>
      </c>
    </row>
    <row r="866" spans="1:10" x14ac:dyDescent="0.3">
      <c r="A866">
        <v>1000017906</v>
      </c>
      <c r="B866" s="1">
        <f>VLOOKUP(A866,[1]Sheet1!A:B,2,FALSE)</f>
        <v>40579</v>
      </c>
      <c r="C866" s="2">
        <v>0</v>
      </c>
      <c r="D866" s="2">
        <f>SUMIFS([1]Sheet1!D:D,[1]Sheet1!A:A,A866,[1]Sheet1!E:E,"Figurado")</f>
        <v>0</v>
      </c>
      <c r="E866" s="2">
        <f>SUMIFS([1]Sheet1!D:D,[1]Sheet1!A:A,A866,[1]Sheet1!E:E,"Mallas")</f>
        <v>0</v>
      </c>
      <c r="F866" s="2">
        <f>SUMIFS([1]Sheet1!D:D,[1]Sheet1!A:A,A866,[1]Sheet1!E:E,"Materia Prima")</f>
        <v>35549</v>
      </c>
      <c r="G866" s="2">
        <f t="shared" si="52"/>
        <v>0</v>
      </c>
      <c r="H866">
        <f t="shared" si="53"/>
        <v>1</v>
      </c>
      <c r="I866" s="2">
        <f t="shared" si="54"/>
        <v>0</v>
      </c>
      <c r="J866" s="2">
        <f t="shared" si="55"/>
        <v>0</v>
      </c>
    </row>
    <row r="867" spans="1:10" x14ac:dyDescent="0.3">
      <c r="A867">
        <v>1000017907</v>
      </c>
      <c r="B867" s="1">
        <f>VLOOKUP(A867,[1]Sheet1!A:B,2,FALSE)</f>
        <v>40581</v>
      </c>
      <c r="C867" s="2">
        <v>0</v>
      </c>
      <c r="D867" s="2">
        <f>SUMIFS([1]Sheet1!D:D,[1]Sheet1!A:A,A867,[1]Sheet1!E:E,"Figurado")</f>
        <v>7265</v>
      </c>
      <c r="E867" s="2">
        <f>SUMIFS([1]Sheet1!D:D,[1]Sheet1!A:A,A867,[1]Sheet1!E:E,"Mallas")</f>
        <v>0</v>
      </c>
      <c r="F867" s="2">
        <f>SUMIFS([1]Sheet1!D:D,[1]Sheet1!A:A,A867,[1]Sheet1!E:E,"Materia Prima")</f>
        <v>0</v>
      </c>
      <c r="G867" s="2">
        <f t="shared" si="52"/>
        <v>2.7942307692307691</v>
      </c>
      <c r="H867">
        <f t="shared" si="53"/>
        <v>1</v>
      </c>
      <c r="I867" s="2">
        <f t="shared" si="54"/>
        <v>2.7942307692307691</v>
      </c>
      <c r="J867" s="2">
        <f t="shared" si="55"/>
        <v>0</v>
      </c>
    </row>
    <row r="868" spans="1:10" x14ac:dyDescent="0.3">
      <c r="A868">
        <v>1000017908</v>
      </c>
      <c r="B868" s="1">
        <f>VLOOKUP(A868,[1]Sheet1!A:B,2,FALSE)</f>
        <v>40581</v>
      </c>
      <c r="C868" s="2">
        <v>0</v>
      </c>
      <c r="D868" s="2">
        <f>SUMIFS([1]Sheet1!D:D,[1]Sheet1!A:A,A868,[1]Sheet1!E:E,"Figurado")</f>
        <v>661.7</v>
      </c>
      <c r="E868" s="2">
        <f>SUMIFS([1]Sheet1!D:D,[1]Sheet1!A:A,A868,[1]Sheet1!E:E,"Mallas")</f>
        <v>0</v>
      </c>
      <c r="F868" s="2">
        <f>SUMIFS([1]Sheet1!D:D,[1]Sheet1!A:A,A868,[1]Sheet1!E:E,"Materia Prima")</f>
        <v>120</v>
      </c>
      <c r="G868" s="2">
        <f t="shared" si="52"/>
        <v>0.2545</v>
      </c>
      <c r="H868">
        <f t="shared" si="53"/>
        <v>2</v>
      </c>
      <c r="I868" s="2">
        <f t="shared" si="54"/>
        <v>0.2545</v>
      </c>
      <c r="J868" s="2">
        <f t="shared" si="55"/>
        <v>0</v>
      </c>
    </row>
    <row r="869" spans="1:10" x14ac:dyDescent="0.3">
      <c r="A869">
        <v>1000017909</v>
      </c>
      <c r="B869" s="1">
        <f>VLOOKUP(A869,[1]Sheet1!A:B,2,FALSE)</f>
        <v>40581</v>
      </c>
      <c r="C869" s="2">
        <v>0</v>
      </c>
      <c r="D869" s="2">
        <f>SUMIFS([1]Sheet1!D:D,[1]Sheet1!A:A,A869,[1]Sheet1!E:E,"Figurado")</f>
        <v>440.9</v>
      </c>
      <c r="E869" s="2">
        <f>SUMIFS([1]Sheet1!D:D,[1]Sheet1!A:A,A869,[1]Sheet1!E:E,"Mallas")</f>
        <v>0</v>
      </c>
      <c r="F869" s="2">
        <f>SUMIFS([1]Sheet1!D:D,[1]Sheet1!A:A,A869,[1]Sheet1!E:E,"Materia Prima")</f>
        <v>108</v>
      </c>
      <c r="G869" s="2">
        <f t="shared" si="52"/>
        <v>0.16957692307692307</v>
      </c>
      <c r="H869">
        <f t="shared" si="53"/>
        <v>2</v>
      </c>
      <c r="I869" s="2">
        <f t="shared" si="54"/>
        <v>0.16957692307692307</v>
      </c>
      <c r="J869" s="2">
        <f t="shared" si="55"/>
        <v>0</v>
      </c>
    </row>
    <row r="870" spans="1:10" x14ac:dyDescent="0.3">
      <c r="A870">
        <v>1000017910</v>
      </c>
      <c r="B870" s="1">
        <f>VLOOKUP(A870,[1]Sheet1!A:B,2,FALSE)</f>
        <v>40581</v>
      </c>
      <c r="C870" s="2">
        <v>0</v>
      </c>
      <c r="D870" s="2">
        <f>SUMIFS([1]Sheet1!D:D,[1]Sheet1!A:A,A870,[1]Sheet1!E:E,"Figurado")</f>
        <v>550.5</v>
      </c>
      <c r="E870" s="2">
        <f>SUMIFS([1]Sheet1!D:D,[1]Sheet1!A:A,A870,[1]Sheet1!E:E,"Mallas")</f>
        <v>0</v>
      </c>
      <c r="F870" s="2">
        <f>SUMIFS([1]Sheet1!D:D,[1]Sheet1!A:A,A870,[1]Sheet1!E:E,"Materia Prima")</f>
        <v>108</v>
      </c>
      <c r="G870" s="2">
        <f t="shared" si="52"/>
        <v>0.21173076923076922</v>
      </c>
      <c r="H870">
        <f t="shared" si="53"/>
        <v>2</v>
      </c>
      <c r="I870" s="2">
        <f t="shared" si="54"/>
        <v>0.21173076923076922</v>
      </c>
      <c r="J870" s="2">
        <f t="shared" si="55"/>
        <v>0</v>
      </c>
    </row>
    <row r="871" spans="1:10" x14ac:dyDescent="0.3">
      <c r="A871">
        <v>1000017911</v>
      </c>
      <c r="B871" s="1">
        <f>VLOOKUP(A871,[1]Sheet1!A:B,2,FALSE)</f>
        <v>40581</v>
      </c>
      <c r="C871" s="2">
        <v>0</v>
      </c>
      <c r="D871" s="2">
        <f>SUMIFS([1]Sheet1!D:D,[1]Sheet1!A:A,A871,[1]Sheet1!E:E,"Figurado")</f>
        <v>440.9</v>
      </c>
      <c r="E871" s="2">
        <f>SUMIFS([1]Sheet1!D:D,[1]Sheet1!A:A,A871,[1]Sheet1!E:E,"Mallas")</f>
        <v>0</v>
      </c>
      <c r="F871" s="2">
        <f>SUMIFS([1]Sheet1!D:D,[1]Sheet1!A:A,A871,[1]Sheet1!E:E,"Materia Prima")</f>
        <v>108</v>
      </c>
      <c r="G871" s="2">
        <f t="shared" si="52"/>
        <v>0.16957692307692307</v>
      </c>
      <c r="H871">
        <f t="shared" si="53"/>
        <v>2</v>
      </c>
      <c r="I871" s="2">
        <f t="shared" si="54"/>
        <v>0.16957692307692307</v>
      </c>
      <c r="J871" s="2">
        <f t="shared" si="55"/>
        <v>0</v>
      </c>
    </row>
    <row r="872" spans="1:10" x14ac:dyDescent="0.3">
      <c r="A872">
        <v>1000017912</v>
      </c>
      <c r="B872" s="1">
        <f>VLOOKUP(A872,[1]Sheet1!A:B,2,FALSE)</f>
        <v>40581</v>
      </c>
      <c r="C872" s="2">
        <v>0</v>
      </c>
      <c r="D872" s="2">
        <f>SUMIFS([1]Sheet1!D:D,[1]Sheet1!A:A,A872,[1]Sheet1!E:E,"Figurado")</f>
        <v>661.7</v>
      </c>
      <c r="E872" s="2">
        <f>SUMIFS([1]Sheet1!D:D,[1]Sheet1!A:A,A872,[1]Sheet1!E:E,"Mallas")</f>
        <v>0</v>
      </c>
      <c r="F872" s="2">
        <f>SUMIFS([1]Sheet1!D:D,[1]Sheet1!A:A,A872,[1]Sheet1!E:E,"Materia Prima")</f>
        <v>120</v>
      </c>
      <c r="G872" s="2">
        <f t="shared" si="52"/>
        <v>0.2545</v>
      </c>
      <c r="H872">
        <f t="shared" si="53"/>
        <v>2</v>
      </c>
      <c r="I872" s="2">
        <f t="shared" si="54"/>
        <v>0.2545</v>
      </c>
      <c r="J872" s="2">
        <f t="shared" si="55"/>
        <v>0</v>
      </c>
    </row>
    <row r="873" spans="1:10" x14ac:dyDescent="0.3">
      <c r="A873">
        <v>1000017913</v>
      </c>
      <c r="B873" s="1">
        <f>VLOOKUP(A873,[1]Sheet1!A:B,2,FALSE)</f>
        <v>40581</v>
      </c>
      <c r="C873" s="2">
        <v>0</v>
      </c>
      <c r="D873" s="2">
        <f>SUMIFS([1]Sheet1!D:D,[1]Sheet1!A:A,A873,[1]Sheet1!E:E,"Figurado")</f>
        <v>490.2</v>
      </c>
      <c r="E873" s="2">
        <f>SUMIFS([1]Sheet1!D:D,[1]Sheet1!A:A,A873,[1]Sheet1!E:E,"Mallas")</f>
        <v>0</v>
      </c>
      <c r="F873" s="2">
        <f>SUMIFS([1]Sheet1!D:D,[1]Sheet1!A:A,A873,[1]Sheet1!E:E,"Materia Prima")</f>
        <v>0</v>
      </c>
      <c r="G873" s="2">
        <f t="shared" si="52"/>
        <v>0.18853846153846154</v>
      </c>
      <c r="H873">
        <f t="shared" si="53"/>
        <v>1</v>
      </c>
      <c r="I873" s="2">
        <f t="shared" si="54"/>
        <v>0.18853846153846154</v>
      </c>
      <c r="J873" s="2">
        <f t="shared" si="55"/>
        <v>0</v>
      </c>
    </row>
    <row r="874" spans="1:10" x14ac:dyDescent="0.3">
      <c r="A874">
        <v>1000017914</v>
      </c>
      <c r="B874" s="1">
        <f>VLOOKUP(A874,[1]Sheet1!A:B,2,FALSE)</f>
        <v>40581</v>
      </c>
      <c r="C874" s="2">
        <v>0</v>
      </c>
      <c r="D874" s="2">
        <f>SUMIFS([1]Sheet1!D:D,[1]Sheet1!A:A,A874,[1]Sheet1!E:E,"Figurado")</f>
        <v>466.2</v>
      </c>
      <c r="E874" s="2">
        <f>SUMIFS([1]Sheet1!D:D,[1]Sheet1!A:A,A874,[1]Sheet1!E:E,"Mallas")</f>
        <v>0</v>
      </c>
      <c r="F874" s="2">
        <f>SUMIFS([1]Sheet1!D:D,[1]Sheet1!A:A,A874,[1]Sheet1!E:E,"Materia Prima")</f>
        <v>0</v>
      </c>
      <c r="G874" s="2">
        <f t="shared" si="52"/>
        <v>0.17930769230769231</v>
      </c>
      <c r="H874">
        <f t="shared" si="53"/>
        <v>1</v>
      </c>
      <c r="I874" s="2">
        <f t="shared" si="54"/>
        <v>0.17930769230769231</v>
      </c>
      <c r="J874" s="2">
        <f t="shared" si="55"/>
        <v>0</v>
      </c>
    </row>
    <row r="875" spans="1:10" x14ac:dyDescent="0.3">
      <c r="A875">
        <v>1000017915</v>
      </c>
      <c r="B875" s="1">
        <f>VLOOKUP(A875,[1]Sheet1!A:B,2,FALSE)</f>
        <v>40581</v>
      </c>
      <c r="C875" s="2">
        <v>0</v>
      </c>
      <c r="D875" s="2">
        <f>SUMIFS([1]Sheet1!D:D,[1]Sheet1!A:A,A875,[1]Sheet1!E:E,"Figurado")</f>
        <v>466.2</v>
      </c>
      <c r="E875" s="2">
        <f>SUMIFS([1]Sheet1!D:D,[1]Sheet1!A:A,A875,[1]Sheet1!E:E,"Mallas")</f>
        <v>0</v>
      </c>
      <c r="F875" s="2">
        <f>SUMIFS([1]Sheet1!D:D,[1]Sheet1!A:A,A875,[1]Sheet1!E:E,"Materia Prima")</f>
        <v>0</v>
      </c>
      <c r="G875" s="2">
        <f t="shared" si="52"/>
        <v>0.17930769230769231</v>
      </c>
      <c r="H875">
        <f t="shared" si="53"/>
        <v>1</v>
      </c>
      <c r="I875" s="2">
        <f t="shared" si="54"/>
        <v>0.17930769230769231</v>
      </c>
      <c r="J875" s="2">
        <f t="shared" si="55"/>
        <v>0</v>
      </c>
    </row>
    <row r="876" spans="1:10" x14ac:dyDescent="0.3">
      <c r="A876">
        <v>1000017916</v>
      </c>
      <c r="B876" s="1">
        <f>VLOOKUP(A876,[1]Sheet1!A:B,2,FALSE)</f>
        <v>40581</v>
      </c>
      <c r="C876" s="2">
        <v>0</v>
      </c>
      <c r="D876" s="2">
        <f>SUMIFS([1]Sheet1!D:D,[1]Sheet1!A:A,A876,[1]Sheet1!E:E,"Figurado")</f>
        <v>466.2</v>
      </c>
      <c r="E876" s="2">
        <f>SUMIFS([1]Sheet1!D:D,[1]Sheet1!A:A,A876,[1]Sheet1!E:E,"Mallas")</f>
        <v>0</v>
      </c>
      <c r="F876" s="2">
        <f>SUMIFS([1]Sheet1!D:D,[1]Sheet1!A:A,A876,[1]Sheet1!E:E,"Materia Prima")</f>
        <v>0</v>
      </c>
      <c r="G876" s="2">
        <f t="shared" si="52"/>
        <v>0.17930769230769231</v>
      </c>
      <c r="H876">
        <f t="shared" si="53"/>
        <v>1</v>
      </c>
      <c r="I876" s="2">
        <f t="shared" si="54"/>
        <v>0.17930769230769231</v>
      </c>
      <c r="J876" s="2">
        <f t="shared" si="55"/>
        <v>0</v>
      </c>
    </row>
    <row r="877" spans="1:10" x14ac:dyDescent="0.3">
      <c r="A877">
        <v>1000017917</v>
      </c>
      <c r="B877" s="1">
        <f>VLOOKUP(A877,[1]Sheet1!A:B,2,FALSE)</f>
        <v>40581</v>
      </c>
      <c r="C877" s="2">
        <v>0</v>
      </c>
      <c r="D877" s="2">
        <f>SUMIFS([1]Sheet1!D:D,[1]Sheet1!A:A,A877,[1]Sheet1!E:E,"Figurado")</f>
        <v>16.8</v>
      </c>
      <c r="E877" s="2">
        <f>SUMIFS([1]Sheet1!D:D,[1]Sheet1!A:A,A877,[1]Sheet1!E:E,"Mallas")</f>
        <v>0</v>
      </c>
      <c r="F877" s="2">
        <f>SUMIFS([1]Sheet1!D:D,[1]Sheet1!A:A,A877,[1]Sheet1!E:E,"Materia Prima")</f>
        <v>0</v>
      </c>
      <c r="G877" s="2">
        <f t="shared" si="52"/>
        <v>6.4615384615384621E-3</v>
      </c>
      <c r="H877">
        <f t="shared" si="53"/>
        <v>1</v>
      </c>
      <c r="I877" s="2">
        <f t="shared" si="54"/>
        <v>6.4615384615384621E-3</v>
      </c>
      <c r="J877" s="2">
        <f t="shared" si="55"/>
        <v>0</v>
      </c>
    </row>
    <row r="878" spans="1:10" x14ac:dyDescent="0.3">
      <c r="A878">
        <v>1000017919</v>
      </c>
      <c r="B878" s="1">
        <f>VLOOKUP(A878,[1]Sheet1!A:B,2,FALSE)</f>
        <v>40581</v>
      </c>
      <c r="C878" s="2">
        <v>0</v>
      </c>
      <c r="D878" s="2">
        <f>SUMIFS([1]Sheet1!D:D,[1]Sheet1!A:A,A878,[1]Sheet1!E:E,"Figurado")</f>
        <v>16.8</v>
      </c>
      <c r="E878" s="2">
        <f>SUMIFS([1]Sheet1!D:D,[1]Sheet1!A:A,A878,[1]Sheet1!E:E,"Mallas")</f>
        <v>0</v>
      </c>
      <c r="F878" s="2">
        <f>SUMIFS([1]Sheet1!D:D,[1]Sheet1!A:A,A878,[1]Sheet1!E:E,"Materia Prima")</f>
        <v>0</v>
      </c>
      <c r="G878" s="2">
        <f t="shared" si="52"/>
        <v>6.4615384615384621E-3</v>
      </c>
      <c r="H878">
        <f t="shared" si="53"/>
        <v>1</v>
      </c>
      <c r="I878" s="2">
        <f t="shared" si="54"/>
        <v>6.4615384615384621E-3</v>
      </c>
      <c r="J878" s="2">
        <f t="shared" si="55"/>
        <v>0</v>
      </c>
    </row>
    <row r="879" spans="1:10" x14ac:dyDescent="0.3">
      <c r="A879">
        <v>1000017920</v>
      </c>
      <c r="B879" s="1">
        <f>VLOOKUP(A879,[1]Sheet1!A:B,2,FALSE)</f>
        <v>40581</v>
      </c>
      <c r="C879" s="2">
        <v>0</v>
      </c>
      <c r="D879" s="2">
        <f>SUMIFS([1]Sheet1!D:D,[1]Sheet1!A:A,A879,[1]Sheet1!E:E,"Figurado")</f>
        <v>16.8</v>
      </c>
      <c r="E879" s="2">
        <f>SUMIFS([1]Sheet1!D:D,[1]Sheet1!A:A,A879,[1]Sheet1!E:E,"Mallas")</f>
        <v>0</v>
      </c>
      <c r="F879" s="2">
        <f>SUMIFS([1]Sheet1!D:D,[1]Sheet1!A:A,A879,[1]Sheet1!E:E,"Materia Prima")</f>
        <v>0</v>
      </c>
      <c r="G879" s="2">
        <f t="shared" si="52"/>
        <v>6.4615384615384621E-3</v>
      </c>
      <c r="H879">
        <f t="shared" si="53"/>
        <v>1</v>
      </c>
      <c r="I879" s="2">
        <f t="shared" si="54"/>
        <v>6.4615384615384621E-3</v>
      </c>
      <c r="J879" s="2">
        <f t="shared" si="55"/>
        <v>0</v>
      </c>
    </row>
    <row r="880" spans="1:10" x14ac:dyDescent="0.3">
      <c r="A880">
        <v>1000017921</v>
      </c>
      <c r="B880" s="1">
        <f>VLOOKUP(A880,[1]Sheet1!A:B,2,FALSE)</f>
        <v>40581</v>
      </c>
      <c r="C880" s="2">
        <v>0</v>
      </c>
      <c r="D880" s="2">
        <f>SUMIFS([1]Sheet1!D:D,[1]Sheet1!A:A,A880,[1]Sheet1!E:E,"Figurado")</f>
        <v>16.8</v>
      </c>
      <c r="E880" s="2">
        <f>SUMIFS([1]Sheet1!D:D,[1]Sheet1!A:A,A880,[1]Sheet1!E:E,"Mallas")</f>
        <v>0</v>
      </c>
      <c r="F880" s="2">
        <f>SUMIFS([1]Sheet1!D:D,[1]Sheet1!A:A,A880,[1]Sheet1!E:E,"Materia Prima")</f>
        <v>0</v>
      </c>
      <c r="G880" s="2">
        <f t="shared" si="52"/>
        <v>6.4615384615384621E-3</v>
      </c>
      <c r="H880">
        <f t="shared" si="53"/>
        <v>1</v>
      </c>
      <c r="I880" s="2">
        <f t="shared" si="54"/>
        <v>6.4615384615384621E-3</v>
      </c>
      <c r="J880" s="2">
        <f t="shared" si="55"/>
        <v>0</v>
      </c>
    </row>
    <row r="881" spans="1:10" x14ac:dyDescent="0.3">
      <c r="A881">
        <v>1000017922</v>
      </c>
      <c r="B881" s="1">
        <f>VLOOKUP(A881,[1]Sheet1!A:B,2,FALSE)</f>
        <v>40581</v>
      </c>
      <c r="C881" s="2">
        <v>0</v>
      </c>
      <c r="D881" s="2">
        <f>SUMIFS([1]Sheet1!D:D,[1]Sheet1!A:A,A881,[1]Sheet1!E:E,"Figurado")</f>
        <v>0</v>
      </c>
      <c r="E881" s="2">
        <f>SUMIFS([1]Sheet1!D:D,[1]Sheet1!A:A,A881,[1]Sheet1!E:E,"Mallas")</f>
        <v>0</v>
      </c>
      <c r="F881" s="2">
        <f>SUMIFS([1]Sheet1!D:D,[1]Sheet1!A:A,A881,[1]Sheet1!E:E,"Materia Prima")</f>
        <v>374.4</v>
      </c>
      <c r="G881" s="2">
        <f t="shared" si="52"/>
        <v>0</v>
      </c>
      <c r="H881">
        <f t="shared" si="53"/>
        <v>1</v>
      </c>
      <c r="I881" s="2">
        <f t="shared" si="54"/>
        <v>0</v>
      </c>
      <c r="J881" s="2">
        <f t="shared" si="55"/>
        <v>0</v>
      </c>
    </row>
    <row r="882" spans="1:10" x14ac:dyDescent="0.3">
      <c r="A882">
        <v>1000017923</v>
      </c>
      <c r="B882" s="1">
        <f>VLOOKUP(A882,[1]Sheet1!A:B,2,FALSE)</f>
        <v>40581</v>
      </c>
      <c r="C882" s="2">
        <v>0</v>
      </c>
      <c r="D882" s="2">
        <f>SUMIFS([1]Sheet1!D:D,[1]Sheet1!A:A,A882,[1]Sheet1!E:E,"Figurado")</f>
        <v>9493.9</v>
      </c>
      <c r="E882" s="2">
        <f>SUMIFS([1]Sheet1!D:D,[1]Sheet1!A:A,A882,[1]Sheet1!E:E,"Mallas")</f>
        <v>0</v>
      </c>
      <c r="F882" s="2">
        <f>SUMIFS([1]Sheet1!D:D,[1]Sheet1!A:A,A882,[1]Sheet1!E:E,"Materia Prima")</f>
        <v>0</v>
      </c>
      <c r="G882" s="2">
        <f t="shared" si="52"/>
        <v>3.6515</v>
      </c>
      <c r="H882">
        <f t="shared" si="53"/>
        <v>1</v>
      </c>
      <c r="I882" s="2">
        <f t="shared" si="54"/>
        <v>3.6515</v>
      </c>
      <c r="J882" s="2">
        <f t="shared" si="55"/>
        <v>0</v>
      </c>
    </row>
    <row r="883" spans="1:10" x14ac:dyDescent="0.3">
      <c r="A883">
        <v>1000017926</v>
      </c>
      <c r="B883" s="1">
        <f>VLOOKUP(A883,[1]Sheet1!A:B,2,FALSE)</f>
        <v>40581</v>
      </c>
      <c r="C883" s="2">
        <v>0</v>
      </c>
      <c r="D883" s="2">
        <f>SUMIFS([1]Sheet1!D:D,[1]Sheet1!A:A,A883,[1]Sheet1!E:E,"Figurado")</f>
        <v>10983</v>
      </c>
      <c r="E883" s="2">
        <f>SUMIFS([1]Sheet1!D:D,[1]Sheet1!A:A,A883,[1]Sheet1!E:E,"Mallas")</f>
        <v>0</v>
      </c>
      <c r="F883" s="2">
        <f>SUMIFS([1]Sheet1!D:D,[1]Sheet1!A:A,A883,[1]Sheet1!E:E,"Materia Prima")</f>
        <v>1209.5999999999999</v>
      </c>
      <c r="G883" s="2">
        <f t="shared" si="52"/>
        <v>4.2242307692307692</v>
      </c>
      <c r="H883">
        <f t="shared" si="53"/>
        <v>2</v>
      </c>
      <c r="I883" s="2">
        <f t="shared" si="54"/>
        <v>4.2242307692307692</v>
      </c>
      <c r="J883" s="2">
        <f t="shared" si="55"/>
        <v>0</v>
      </c>
    </row>
    <row r="884" spans="1:10" x14ac:dyDescent="0.3">
      <c r="A884">
        <v>1000017930</v>
      </c>
      <c r="B884" s="1">
        <f>VLOOKUP(A884,[1]Sheet1!A:B,2,FALSE)</f>
        <v>40581</v>
      </c>
      <c r="C884" s="2">
        <v>0</v>
      </c>
      <c r="D884" s="2">
        <f>SUMIFS([1]Sheet1!D:D,[1]Sheet1!A:A,A884,[1]Sheet1!E:E,"Figurado")</f>
        <v>0</v>
      </c>
      <c r="E884" s="2">
        <f>SUMIFS([1]Sheet1!D:D,[1]Sheet1!A:A,A884,[1]Sheet1!E:E,"Mallas")</f>
        <v>7056.6</v>
      </c>
      <c r="F884" s="2">
        <f>SUMIFS([1]Sheet1!D:D,[1]Sheet1!A:A,A884,[1]Sheet1!E:E,"Materia Prima")</f>
        <v>0</v>
      </c>
      <c r="G884" s="2">
        <f t="shared" si="52"/>
        <v>8.8207500000000003</v>
      </c>
      <c r="H884">
        <f t="shared" si="53"/>
        <v>1</v>
      </c>
      <c r="I884" s="2">
        <f t="shared" si="54"/>
        <v>0</v>
      </c>
      <c r="J884" s="2">
        <f t="shared" si="55"/>
        <v>8.8207500000000003</v>
      </c>
    </row>
    <row r="885" spans="1:10" x14ac:dyDescent="0.3">
      <c r="A885">
        <v>1000017931</v>
      </c>
      <c r="B885" s="1">
        <f>VLOOKUP(A885,[1]Sheet1!A:B,2,FALSE)</f>
        <v>40581</v>
      </c>
      <c r="C885" s="2">
        <v>0</v>
      </c>
      <c r="D885" s="2">
        <f>SUMIFS([1]Sheet1!D:D,[1]Sheet1!A:A,A885,[1]Sheet1!E:E,"Figurado")</f>
        <v>0</v>
      </c>
      <c r="E885" s="2">
        <f>SUMIFS([1]Sheet1!D:D,[1]Sheet1!A:A,A885,[1]Sheet1!E:E,"Mallas")</f>
        <v>0</v>
      </c>
      <c r="F885" s="2">
        <f>SUMIFS([1]Sheet1!D:D,[1]Sheet1!A:A,A885,[1]Sheet1!E:E,"Materia Prima")</f>
        <v>2808</v>
      </c>
      <c r="G885" s="2">
        <f t="shared" si="52"/>
        <v>0</v>
      </c>
      <c r="H885">
        <f t="shared" si="53"/>
        <v>1</v>
      </c>
      <c r="I885" s="2">
        <f t="shared" si="54"/>
        <v>0</v>
      </c>
      <c r="J885" s="2">
        <f t="shared" si="55"/>
        <v>0</v>
      </c>
    </row>
    <row r="886" spans="1:10" x14ac:dyDescent="0.3">
      <c r="A886">
        <v>1000017932</v>
      </c>
      <c r="B886" s="1">
        <f>VLOOKUP(A886,[1]Sheet1!A:B,2,FALSE)</f>
        <v>40581</v>
      </c>
      <c r="C886" s="2">
        <v>0</v>
      </c>
      <c r="D886" s="2">
        <f>SUMIFS([1]Sheet1!D:D,[1]Sheet1!A:A,A886,[1]Sheet1!E:E,"Figurado")</f>
        <v>0</v>
      </c>
      <c r="E886" s="2">
        <f>SUMIFS([1]Sheet1!D:D,[1]Sheet1!A:A,A886,[1]Sheet1!E:E,"Mallas")</f>
        <v>9523.84</v>
      </c>
      <c r="F886" s="2">
        <f>SUMIFS([1]Sheet1!D:D,[1]Sheet1!A:A,A886,[1]Sheet1!E:E,"Materia Prima")</f>
        <v>0</v>
      </c>
      <c r="G886" s="2">
        <f t="shared" si="52"/>
        <v>11.9048</v>
      </c>
      <c r="H886">
        <f t="shared" si="53"/>
        <v>1</v>
      </c>
      <c r="I886" s="2">
        <f t="shared" si="54"/>
        <v>0</v>
      </c>
      <c r="J886" s="2">
        <f t="shared" si="55"/>
        <v>11.9048</v>
      </c>
    </row>
    <row r="887" spans="1:10" x14ac:dyDescent="0.3">
      <c r="A887">
        <v>1000017933</v>
      </c>
      <c r="B887" s="1">
        <f>VLOOKUP(A887,[1]Sheet1!A:B,2,FALSE)</f>
        <v>40581</v>
      </c>
      <c r="C887" s="2">
        <v>0</v>
      </c>
      <c r="D887" s="2">
        <f>SUMIFS([1]Sheet1!D:D,[1]Sheet1!A:A,A887,[1]Sheet1!E:E,"Figurado")</f>
        <v>8894.4</v>
      </c>
      <c r="E887" s="2">
        <f>SUMIFS([1]Sheet1!D:D,[1]Sheet1!A:A,A887,[1]Sheet1!E:E,"Mallas")</f>
        <v>0</v>
      </c>
      <c r="F887" s="2">
        <f>SUMIFS([1]Sheet1!D:D,[1]Sheet1!A:A,A887,[1]Sheet1!E:E,"Materia Prima")</f>
        <v>972</v>
      </c>
      <c r="G887" s="2">
        <f t="shared" si="52"/>
        <v>3.420923076923077</v>
      </c>
      <c r="H887">
        <f t="shared" si="53"/>
        <v>2</v>
      </c>
      <c r="I887" s="2">
        <f t="shared" si="54"/>
        <v>3.420923076923077</v>
      </c>
      <c r="J887" s="2">
        <f t="shared" si="55"/>
        <v>0</v>
      </c>
    </row>
    <row r="888" spans="1:10" x14ac:dyDescent="0.3">
      <c r="A888">
        <v>1000017934</v>
      </c>
      <c r="B888" s="1">
        <f>VLOOKUP(A888,[1]Sheet1!A:B,2,FALSE)</f>
        <v>40581</v>
      </c>
      <c r="C888" s="2">
        <v>0</v>
      </c>
      <c r="D888" s="2">
        <f>SUMIFS([1]Sheet1!D:D,[1]Sheet1!A:A,A888,[1]Sheet1!E:E,"Figurado")</f>
        <v>2012.8</v>
      </c>
      <c r="E888" s="2">
        <f>SUMIFS([1]Sheet1!D:D,[1]Sheet1!A:A,A888,[1]Sheet1!E:E,"Mallas")</f>
        <v>0</v>
      </c>
      <c r="F888" s="2">
        <f>SUMIFS([1]Sheet1!D:D,[1]Sheet1!A:A,A888,[1]Sheet1!E:E,"Materia Prima")</f>
        <v>80.599999999999994</v>
      </c>
      <c r="G888" s="2">
        <f t="shared" si="52"/>
        <v>0.77415384615384608</v>
      </c>
      <c r="H888">
        <f t="shared" si="53"/>
        <v>2</v>
      </c>
      <c r="I888" s="2">
        <f t="shared" si="54"/>
        <v>0.77415384615384608</v>
      </c>
      <c r="J888" s="2">
        <f t="shared" si="55"/>
        <v>0</v>
      </c>
    </row>
    <row r="889" spans="1:10" x14ac:dyDescent="0.3">
      <c r="A889">
        <v>1000017937</v>
      </c>
      <c r="B889" s="1">
        <f>VLOOKUP(A889,[1]Sheet1!A:B,2,FALSE)</f>
        <v>40581</v>
      </c>
      <c r="C889" s="2">
        <v>0</v>
      </c>
      <c r="D889" s="2">
        <f>SUMIFS([1]Sheet1!D:D,[1]Sheet1!A:A,A889,[1]Sheet1!E:E,"Figurado")</f>
        <v>7068.3</v>
      </c>
      <c r="E889" s="2">
        <f>SUMIFS([1]Sheet1!D:D,[1]Sheet1!A:A,A889,[1]Sheet1!E:E,"Mallas")</f>
        <v>0</v>
      </c>
      <c r="F889" s="2">
        <f>SUMIFS([1]Sheet1!D:D,[1]Sheet1!A:A,A889,[1]Sheet1!E:E,"Materia Prima")</f>
        <v>0</v>
      </c>
      <c r="G889" s="2">
        <f t="shared" si="52"/>
        <v>2.718576923076923</v>
      </c>
      <c r="H889">
        <f t="shared" si="53"/>
        <v>1</v>
      </c>
      <c r="I889" s="2">
        <f t="shared" si="54"/>
        <v>2.718576923076923</v>
      </c>
      <c r="J889" s="2">
        <f t="shared" si="55"/>
        <v>0</v>
      </c>
    </row>
    <row r="890" spans="1:10" x14ac:dyDescent="0.3">
      <c r="A890">
        <v>1000017939</v>
      </c>
      <c r="B890" s="1">
        <f>VLOOKUP(A890,[1]Sheet1!A:B,2,FALSE)</f>
        <v>40581</v>
      </c>
      <c r="C890" s="2">
        <v>0</v>
      </c>
      <c r="D890" s="2">
        <f>SUMIFS([1]Sheet1!D:D,[1]Sheet1!A:A,A890,[1]Sheet1!E:E,"Figurado")</f>
        <v>600</v>
      </c>
      <c r="E890" s="2">
        <f>SUMIFS([1]Sheet1!D:D,[1]Sheet1!A:A,A890,[1]Sheet1!E:E,"Mallas")</f>
        <v>0</v>
      </c>
      <c r="F890" s="2">
        <f>SUMIFS([1]Sheet1!D:D,[1]Sheet1!A:A,A890,[1]Sheet1!E:E,"Materia Prima")</f>
        <v>0</v>
      </c>
      <c r="G890" s="2">
        <f t="shared" si="52"/>
        <v>0.23076923076923078</v>
      </c>
      <c r="H890">
        <f t="shared" si="53"/>
        <v>1</v>
      </c>
      <c r="I890" s="2">
        <f t="shared" si="54"/>
        <v>0.23076923076923078</v>
      </c>
      <c r="J890" s="2">
        <f t="shared" si="55"/>
        <v>0</v>
      </c>
    </row>
    <row r="891" spans="1:10" x14ac:dyDescent="0.3">
      <c r="A891">
        <v>1000017940</v>
      </c>
      <c r="B891" s="1">
        <f>VLOOKUP(A891,[1]Sheet1!A:B,2,FALSE)</f>
        <v>40581</v>
      </c>
      <c r="C891" s="2">
        <v>0</v>
      </c>
      <c r="D891" s="2">
        <f>SUMIFS([1]Sheet1!D:D,[1]Sheet1!A:A,A891,[1]Sheet1!E:E,"Figurado")</f>
        <v>108.7</v>
      </c>
      <c r="E891" s="2">
        <f>SUMIFS([1]Sheet1!D:D,[1]Sheet1!A:A,A891,[1]Sheet1!E:E,"Mallas")</f>
        <v>0</v>
      </c>
      <c r="F891" s="2">
        <f>SUMIFS([1]Sheet1!D:D,[1]Sheet1!A:A,A891,[1]Sheet1!E:E,"Materia Prima")</f>
        <v>0</v>
      </c>
      <c r="G891" s="2">
        <f t="shared" si="52"/>
        <v>4.180769230769231E-2</v>
      </c>
      <c r="H891">
        <f t="shared" si="53"/>
        <v>1</v>
      </c>
      <c r="I891" s="2">
        <f t="shared" si="54"/>
        <v>4.180769230769231E-2</v>
      </c>
      <c r="J891" s="2">
        <f t="shared" si="55"/>
        <v>0</v>
      </c>
    </row>
    <row r="892" spans="1:10" x14ac:dyDescent="0.3">
      <c r="A892">
        <v>1000017941</v>
      </c>
      <c r="B892" s="1">
        <f>VLOOKUP(A892,[1]Sheet1!A:B,2,FALSE)</f>
        <v>40581</v>
      </c>
      <c r="C892" s="2">
        <v>0</v>
      </c>
      <c r="D892" s="2">
        <f>SUMIFS([1]Sheet1!D:D,[1]Sheet1!A:A,A892,[1]Sheet1!E:E,"Figurado")</f>
        <v>108.7</v>
      </c>
      <c r="E892" s="2">
        <f>SUMIFS([1]Sheet1!D:D,[1]Sheet1!A:A,A892,[1]Sheet1!E:E,"Mallas")</f>
        <v>0</v>
      </c>
      <c r="F892" s="2">
        <f>SUMIFS([1]Sheet1!D:D,[1]Sheet1!A:A,A892,[1]Sheet1!E:E,"Materia Prima")</f>
        <v>0</v>
      </c>
      <c r="G892" s="2">
        <f t="shared" si="52"/>
        <v>4.180769230769231E-2</v>
      </c>
      <c r="H892">
        <f t="shared" si="53"/>
        <v>1</v>
      </c>
      <c r="I892" s="2">
        <f t="shared" si="54"/>
        <v>4.180769230769231E-2</v>
      </c>
      <c r="J892" s="2">
        <f t="shared" si="55"/>
        <v>0</v>
      </c>
    </row>
    <row r="893" spans="1:10" x14ac:dyDescent="0.3">
      <c r="A893">
        <v>1000017942</v>
      </c>
      <c r="B893" s="1">
        <f>VLOOKUP(A893,[1]Sheet1!A:B,2,FALSE)</f>
        <v>40581</v>
      </c>
      <c r="C893" s="2">
        <v>0</v>
      </c>
      <c r="D893" s="2">
        <f>SUMIFS([1]Sheet1!D:D,[1]Sheet1!A:A,A893,[1]Sheet1!E:E,"Figurado")</f>
        <v>1549.9</v>
      </c>
      <c r="E893" s="2">
        <f>SUMIFS([1]Sheet1!D:D,[1]Sheet1!A:A,A893,[1]Sheet1!E:E,"Mallas")</f>
        <v>0</v>
      </c>
      <c r="F893" s="2">
        <f>SUMIFS([1]Sheet1!D:D,[1]Sheet1!A:A,A893,[1]Sheet1!E:E,"Materia Prima")</f>
        <v>0</v>
      </c>
      <c r="G893" s="2">
        <f t="shared" si="52"/>
        <v>0.5961153846153846</v>
      </c>
      <c r="H893">
        <f t="shared" si="53"/>
        <v>1</v>
      </c>
      <c r="I893" s="2">
        <f t="shared" si="54"/>
        <v>0.5961153846153846</v>
      </c>
      <c r="J893" s="2">
        <f t="shared" si="55"/>
        <v>0</v>
      </c>
    </row>
    <row r="894" spans="1:10" x14ac:dyDescent="0.3">
      <c r="A894">
        <v>1000017943</v>
      </c>
      <c r="B894" s="1">
        <f>VLOOKUP(A894,[1]Sheet1!A:B,2,FALSE)</f>
        <v>40581</v>
      </c>
      <c r="C894" s="2">
        <v>0</v>
      </c>
      <c r="D894" s="2">
        <f>SUMIFS([1]Sheet1!D:D,[1]Sheet1!A:A,A894,[1]Sheet1!E:E,"Figurado")</f>
        <v>2082.1</v>
      </c>
      <c r="E894" s="2">
        <f>SUMIFS([1]Sheet1!D:D,[1]Sheet1!A:A,A894,[1]Sheet1!E:E,"Mallas")</f>
        <v>0</v>
      </c>
      <c r="F894" s="2">
        <f>SUMIFS([1]Sheet1!D:D,[1]Sheet1!A:A,A894,[1]Sheet1!E:E,"Materia Prima")</f>
        <v>0</v>
      </c>
      <c r="G894" s="2">
        <f t="shared" si="52"/>
        <v>0.80080769230769222</v>
      </c>
      <c r="H894">
        <f t="shared" si="53"/>
        <v>1</v>
      </c>
      <c r="I894" s="2">
        <f t="shared" si="54"/>
        <v>0.80080769230769222</v>
      </c>
      <c r="J894" s="2">
        <f t="shared" si="55"/>
        <v>0</v>
      </c>
    </row>
    <row r="895" spans="1:10" x14ac:dyDescent="0.3">
      <c r="A895">
        <v>1000017944</v>
      </c>
      <c r="B895" s="1">
        <f>VLOOKUP(A895,[1]Sheet1!A:B,2,FALSE)</f>
        <v>40581</v>
      </c>
      <c r="C895" s="2">
        <v>0</v>
      </c>
      <c r="D895" s="2">
        <f>SUMIFS([1]Sheet1!D:D,[1]Sheet1!A:A,A895,[1]Sheet1!E:E,"Figurado")</f>
        <v>2768</v>
      </c>
      <c r="E895" s="2">
        <f>SUMIFS([1]Sheet1!D:D,[1]Sheet1!A:A,A895,[1]Sheet1!E:E,"Mallas")</f>
        <v>0</v>
      </c>
      <c r="F895" s="2">
        <f>SUMIFS([1]Sheet1!D:D,[1]Sheet1!A:A,A895,[1]Sheet1!E:E,"Materia Prima")</f>
        <v>248.6</v>
      </c>
      <c r="G895" s="2">
        <f t="shared" si="52"/>
        <v>1.0646153846153845</v>
      </c>
      <c r="H895">
        <f t="shared" si="53"/>
        <v>2</v>
      </c>
      <c r="I895" s="2">
        <f t="shared" si="54"/>
        <v>1.0646153846153845</v>
      </c>
      <c r="J895" s="2">
        <f t="shared" si="55"/>
        <v>0</v>
      </c>
    </row>
    <row r="896" spans="1:10" x14ac:dyDescent="0.3">
      <c r="A896">
        <v>1000017945</v>
      </c>
      <c r="B896" s="1">
        <f>VLOOKUP(A896,[1]Sheet1!A:B,2,FALSE)</f>
        <v>40581</v>
      </c>
      <c r="C896" s="2">
        <v>0</v>
      </c>
      <c r="D896" s="2">
        <f>SUMIFS([1]Sheet1!D:D,[1]Sheet1!A:A,A896,[1]Sheet1!E:E,"Figurado")</f>
        <v>124.9</v>
      </c>
      <c r="E896" s="2">
        <f>SUMIFS([1]Sheet1!D:D,[1]Sheet1!A:A,A896,[1]Sheet1!E:E,"Mallas")</f>
        <v>0</v>
      </c>
      <c r="F896" s="2">
        <f>SUMIFS([1]Sheet1!D:D,[1]Sheet1!A:A,A896,[1]Sheet1!E:E,"Materia Prima")</f>
        <v>0</v>
      </c>
      <c r="G896" s="2">
        <f t="shared" si="52"/>
        <v>4.8038461538461544E-2</v>
      </c>
      <c r="H896">
        <f t="shared" si="53"/>
        <v>1</v>
      </c>
      <c r="I896" s="2">
        <f t="shared" si="54"/>
        <v>4.8038461538461544E-2</v>
      </c>
      <c r="J896" s="2">
        <f t="shared" si="55"/>
        <v>0</v>
      </c>
    </row>
    <row r="897" spans="1:10" x14ac:dyDescent="0.3">
      <c r="A897">
        <v>1000017946</v>
      </c>
      <c r="B897" s="1">
        <f>VLOOKUP(A897,[1]Sheet1!A:B,2,FALSE)</f>
        <v>40581</v>
      </c>
      <c r="C897" s="2">
        <v>0</v>
      </c>
      <c r="D897" s="2">
        <f>SUMIFS([1]Sheet1!D:D,[1]Sheet1!A:A,A897,[1]Sheet1!E:E,"Figurado")</f>
        <v>124.9</v>
      </c>
      <c r="E897" s="2">
        <f>SUMIFS([1]Sheet1!D:D,[1]Sheet1!A:A,A897,[1]Sheet1!E:E,"Mallas")</f>
        <v>0</v>
      </c>
      <c r="F897" s="2">
        <f>SUMIFS([1]Sheet1!D:D,[1]Sheet1!A:A,A897,[1]Sheet1!E:E,"Materia Prima")</f>
        <v>0</v>
      </c>
      <c r="G897" s="2">
        <f t="shared" si="52"/>
        <v>4.8038461538461544E-2</v>
      </c>
      <c r="H897">
        <f t="shared" si="53"/>
        <v>1</v>
      </c>
      <c r="I897" s="2">
        <f t="shared" si="54"/>
        <v>4.8038461538461544E-2</v>
      </c>
      <c r="J897" s="2">
        <f t="shared" si="55"/>
        <v>0</v>
      </c>
    </row>
    <row r="898" spans="1:10" x14ac:dyDescent="0.3">
      <c r="A898">
        <v>1000017947</v>
      </c>
      <c r="B898" s="1">
        <f>VLOOKUP(A898,[1]Sheet1!A:B,2,FALSE)</f>
        <v>40581</v>
      </c>
      <c r="C898" s="2">
        <v>0</v>
      </c>
      <c r="D898" s="2">
        <f>SUMIFS([1]Sheet1!D:D,[1]Sheet1!A:A,A898,[1]Sheet1!E:E,"Figurado")</f>
        <v>79.099999999999994</v>
      </c>
      <c r="E898" s="2">
        <f>SUMIFS([1]Sheet1!D:D,[1]Sheet1!A:A,A898,[1]Sheet1!E:E,"Mallas")</f>
        <v>0</v>
      </c>
      <c r="F898" s="2">
        <f>SUMIFS([1]Sheet1!D:D,[1]Sheet1!A:A,A898,[1]Sheet1!E:E,"Materia Prima")</f>
        <v>0</v>
      </c>
      <c r="G898" s="2">
        <f t="shared" si="52"/>
        <v>3.0423076923076921E-2</v>
      </c>
      <c r="H898">
        <f t="shared" si="53"/>
        <v>1</v>
      </c>
      <c r="I898" s="2">
        <f t="shared" si="54"/>
        <v>3.0423076923076921E-2</v>
      </c>
      <c r="J898" s="2">
        <f t="shared" si="55"/>
        <v>0</v>
      </c>
    </row>
    <row r="899" spans="1:10" x14ac:dyDescent="0.3">
      <c r="A899">
        <v>1000017948</v>
      </c>
      <c r="B899" s="1">
        <f>VLOOKUP(A899,[1]Sheet1!A:B,2,FALSE)</f>
        <v>40581</v>
      </c>
      <c r="C899" s="2">
        <v>0</v>
      </c>
      <c r="D899" s="2">
        <f>SUMIFS([1]Sheet1!D:D,[1]Sheet1!A:A,A899,[1]Sheet1!E:E,"Figurado")</f>
        <v>1344</v>
      </c>
      <c r="E899" s="2">
        <f>SUMIFS([1]Sheet1!D:D,[1]Sheet1!A:A,A899,[1]Sheet1!E:E,"Mallas")</f>
        <v>0</v>
      </c>
      <c r="F899" s="2">
        <f>SUMIFS([1]Sheet1!D:D,[1]Sheet1!A:A,A899,[1]Sheet1!E:E,"Materia Prima")</f>
        <v>1680</v>
      </c>
      <c r="G899" s="2">
        <f t="shared" ref="G899:G962" si="56">(D899/2600)+(E899/800)</f>
        <v>0.51692307692307693</v>
      </c>
      <c r="H899">
        <f t="shared" ref="H899:H962" si="57">(IF(D899&gt;0,1,0) + IF(E899&gt;0,1,0) + IF(F899&gt;0,1,0))</f>
        <v>2</v>
      </c>
      <c r="I899" s="2">
        <f t="shared" ref="I899:I962" si="58">D899/2600</f>
        <v>0.51692307692307693</v>
      </c>
      <c r="J899" s="2">
        <f t="shared" ref="J899:J962" si="59">E899/800</f>
        <v>0</v>
      </c>
    </row>
    <row r="900" spans="1:10" x14ac:dyDescent="0.3">
      <c r="A900">
        <v>1000017949</v>
      </c>
      <c r="B900" s="1">
        <f>VLOOKUP(A900,[1]Sheet1!A:B,2,FALSE)</f>
        <v>40581</v>
      </c>
      <c r="C900" s="2">
        <v>0</v>
      </c>
      <c r="D900" s="2">
        <f>SUMIFS([1]Sheet1!D:D,[1]Sheet1!A:A,A900,[1]Sheet1!E:E,"Figurado")</f>
        <v>717.6</v>
      </c>
      <c r="E900" s="2">
        <f>SUMIFS([1]Sheet1!D:D,[1]Sheet1!A:A,A900,[1]Sheet1!E:E,"Mallas")</f>
        <v>0</v>
      </c>
      <c r="F900" s="2">
        <f>SUMIFS([1]Sheet1!D:D,[1]Sheet1!A:A,A900,[1]Sheet1!E:E,"Materia Prima")</f>
        <v>0</v>
      </c>
      <c r="G900" s="2">
        <f t="shared" si="56"/>
        <v>0.27600000000000002</v>
      </c>
      <c r="H900">
        <f t="shared" si="57"/>
        <v>1</v>
      </c>
      <c r="I900" s="2">
        <f t="shared" si="58"/>
        <v>0.27600000000000002</v>
      </c>
      <c r="J900" s="2">
        <f t="shared" si="59"/>
        <v>0</v>
      </c>
    </row>
    <row r="901" spans="1:10" x14ac:dyDescent="0.3">
      <c r="A901">
        <v>1000017950</v>
      </c>
      <c r="B901" s="1">
        <f>VLOOKUP(A901,[1]Sheet1!A:B,2,FALSE)</f>
        <v>40581</v>
      </c>
      <c r="C901" s="2">
        <v>0</v>
      </c>
      <c r="D901" s="2">
        <f>SUMIFS([1]Sheet1!D:D,[1]Sheet1!A:A,A901,[1]Sheet1!E:E,"Figurado")</f>
        <v>900.5</v>
      </c>
      <c r="E901" s="2">
        <f>SUMIFS([1]Sheet1!D:D,[1]Sheet1!A:A,A901,[1]Sheet1!E:E,"Mallas")</f>
        <v>0</v>
      </c>
      <c r="F901" s="2">
        <f>SUMIFS([1]Sheet1!D:D,[1]Sheet1!A:A,A901,[1]Sheet1!E:E,"Materia Prima")</f>
        <v>0</v>
      </c>
      <c r="G901" s="2">
        <f t="shared" si="56"/>
        <v>0.34634615384615386</v>
      </c>
      <c r="H901">
        <f t="shared" si="57"/>
        <v>1</v>
      </c>
      <c r="I901" s="2">
        <f t="shared" si="58"/>
        <v>0.34634615384615386</v>
      </c>
      <c r="J901" s="2">
        <f t="shared" si="59"/>
        <v>0</v>
      </c>
    </row>
    <row r="902" spans="1:10" x14ac:dyDescent="0.3">
      <c r="A902">
        <v>1000017951</v>
      </c>
      <c r="B902" s="1">
        <f>VLOOKUP(A902,[1]Sheet1!A:B,2,FALSE)</f>
        <v>40581</v>
      </c>
      <c r="C902" s="2">
        <v>0</v>
      </c>
      <c r="D902" s="2">
        <f>SUMIFS([1]Sheet1!D:D,[1]Sheet1!A:A,A902,[1]Sheet1!E:E,"Figurado")</f>
        <v>77</v>
      </c>
      <c r="E902" s="2">
        <f>SUMIFS([1]Sheet1!D:D,[1]Sheet1!A:A,A902,[1]Sheet1!E:E,"Mallas")</f>
        <v>0</v>
      </c>
      <c r="F902" s="2">
        <f>SUMIFS([1]Sheet1!D:D,[1]Sheet1!A:A,A902,[1]Sheet1!E:E,"Materia Prima")</f>
        <v>0</v>
      </c>
      <c r="G902" s="2">
        <f t="shared" si="56"/>
        <v>2.9615384615384616E-2</v>
      </c>
      <c r="H902">
        <f t="shared" si="57"/>
        <v>1</v>
      </c>
      <c r="I902" s="2">
        <f t="shared" si="58"/>
        <v>2.9615384615384616E-2</v>
      </c>
      <c r="J902" s="2">
        <f t="shared" si="59"/>
        <v>0</v>
      </c>
    </row>
    <row r="903" spans="1:10" x14ac:dyDescent="0.3">
      <c r="A903">
        <v>1000017952</v>
      </c>
      <c r="B903" s="1">
        <f>VLOOKUP(A903,[1]Sheet1!A:B,2,FALSE)</f>
        <v>40581</v>
      </c>
      <c r="C903" s="2">
        <v>0</v>
      </c>
      <c r="D903" s="2">
        <f>SUMIFS([1]Sheet1!D:D,[1]Sheet1!A:A,A903,[1]Sheet1!E:E,"Figurado")</f>
        <v>817</v>
      </c>
      <c r="E903" s="2">
        <f>SUMIFS([1]Sheet1!D:D,[1]Sheet1!A:A,A903,[1]Sheet1!E:E,"Mallas")</f>
        <v>0</v>
      </c>
      <c r="F903" s="2">
        <f>SUMIFS([1]Sheet1!D:D,[1]Sheet1!A:A,A903,[1]Sheet1!E:E,"Materia Prima")</f>
        <v>0</v>
      </c>
      <c r="G903" s="2">
        <f t="shared" si="56"/>
        <v>0.31423076923076926</v>
      </c>
      <c r="H903">
        <f t="shared" si="57"/>
        <v>1</v>
      </c>
      <c r="I903" s="2">
        <f t="shared" si="58"/>
        <v>0.31423076923076926</v>
      </c>
      <c r="J903" s="2">
        <f t="shared" si="59"/>
        <v>0</v>
      </c>
    </row>
    <row r="904" spans="1:10" x14ac:dyDescent="0.3">
      <c r="A904">
        <v>1000017953</v>
      </c>
      <c r="B904" s="1">
        <f>VLOOKUP(A904,[1]Sheet1!A:B,2,FALSE)</f>
        <v>40581</v>
      </c>
      <c r="C904" s="2">
        <v>0</v>
      </c>
      <c r="D904" s="2">
        <f>SUMIFS([1]Sheet1!D:D,[1]Sheet1!A:A,A904,[1]Sheet1!E:E,"Figurado")</f>
        <v>92.2</v>
      </c>
      <c r="E904" s="2">
        <f>SUMIFS([1]Sheet1!D:D,[1]Sheet1!A:A,A904,[1]Sheet1!E:E,"Mallas")</f>
        <v>0</v>
      </c>
      <c r="F904" s="2">
        <f>SUMIFS([1]Sheet1!D:D,[1]Sheet1!A:A,A904,[1]Sheet1!E:E,"Materia Prima")</f>
        <v>0</v>
      </c>
      <c r="G904" s="2">
        <f t="shared" si="56"/>
        <v>3.5461538461538461E-2</v>
      </c>
      <c r="H904">
        <f t="shared" si="57"/>
        <v>1</v>
      </c>
      <c r="I904" s="2">
        <f t="shared" si="58"/>
        <v>3.5461538461538461E-2</v>
      </c>
      <c r="J904" s="2">
        <f t="shared" si="59"/>
        <v>0</v>
      </c>
    </row>
    <row r="905" spans="1:10" x14ac:dyDescent="0.3">
      <c r="A905">
        <v>1000017958</v>
      </c>
      <c r="B905" s="1">
        <f>VLOOKUP(A905,[1]Sheet1!A:B,2,FALSE)</f>
        <v>40582</v>
      </c>
      <c r="C905" s="2">
        <v>0</v>
      </c>
      <c r="D905" s="2">
        <f>SUMIFS([1]Sheet1!D:D,[1]Sheet1!A:A,A905,[1]Sheet1!E:E,"Figurado")</f>
        <v>442</v>
      </c>
      <c r="E905" s="2">
        <f>SUMIFS([1]Sheet1!D:D,[1]Sheet1!A:A,A905,[1]Sheet1!E:E,"Mallas")</f>
        <v>0</v>
      </c>
      <c r="F905" s="2">
        <f>SUMIFS([1]Sheet1!D:D,[1]Sheet1!A:A,A905,[1]Sheet1!E:E,"Materia Prima")</f>
        <v>748.8</v>
      </c>
      <c r="G905" s="2">
        <f t="shared" si="56"/>
        <v>0.17</v>
      </c>
      <c r="H905">
        <f t="shared" si="57"/>
        <v>2</v>
      </c>
      <c r="I905" s="2">
        <f t="shared" si="58"/>
        <v>0.17</v>
      </c>
      <c r="J905" s="2">
        <f t="shared" si="59"/>
        <v>0</v>
      </c>
    </row>
    <row r="906" spans="1:10" x14ac:dyDescent="0.3">
      <c r="A906">
        <v>1000017959</v>
      </c>
      <c r="B906" s="1">
        <f>VLOOKUP(A906,[1]Sheet1!A:B,2,FALSE)</f>
        <v>40582</v>
      </c>
      <c r="C906" s="2">
        <v>0</v>
      </c>
      <c r="D906" s="2">
        <f>SUMIFS([1]Sheet1!D:D,[1]Sheet1!A:A,A906,[1]Sheet1!E:E,"Figurado")</f>
        <v>0</v>
      </c>
      <c r="E906" s="2">
        <f>SUMIFS([1]Sheet1!D:D,[1]Sheet1!A:A,A906,[1]Sheet1!E:E,"Mallas")</f>
        <v>0</v>
      </c>
      <c r="F906" s="2">
        <f>SUMIFS([1]Sheet1!D:D,[1]Sheet1!A:A,A906,[1]Sheet1!E:E,"Materia Prima")</f>
        <v>840</v>
      </c>
      <c r="G906" s="2">
        <f t="shared" si="56"/>
        <v>0</v>
      </c>
      <c r="H906">
        <f t="shared" si="57"/>
        <v>1</v>
      </c>
      <c r="I906" s="2">
        <f t="shared" si="58"/>
        <v>0</v>
      </c>
      <c r="J906" s="2">
        <f t="shared" si="59"/>
        <v>0</v>
      </c>
    </row>
    <row r="907" spans="1:10" x14ac:dyDescent="0.3">
      <c r="A907">
        <v>1000017960</v>
      </c>
      <c r="B907" s="1">
        <f>VLOOKUP(A907,[1]Sheet1!A:B,2,FALSE)</f>
        <v>40582</v>
      </c>
      <c r="C907" s="2">
        <v>0</v>
      </c>
      <c r="D907" s="2">
        <f>SUMIFS([1]Sheet1!D:D,[1]Sheet1!A:A,A907,[1]Sheet1!E:E,"Figurado")</f>
        <v>154.1</v>
      </c>
      <c r="E907" s="2">
        <f>SUMIFS([1]Sheet1!D:D,[1]Sheet1!A:A,A907,[1]Sheet1!E:E,"Mallas")</f>
        <v>0</v>
      </c>
      <c r="F907" s="2">
        <f>SUMIFS([1]Sheet1!D:D,[1]Sheet1!A:A,A907,[1]Sheet1!E:E,"Materia Prima")</f>
        <v>636.5</v>
      </c>
      <c r="G907" s="2">
        <f t="shared" si="56"/>
        <v>5.9269230769230768E-2</v>
      </c>
      <c r="H907">
        <f t="shared" si="57"/>
        <v>2</v>
      </c>
      <c r="I907" s="2">
        <f t="shared" si="58"/>
        <v>5.9269230769230768E-2</v>
      </c>
      <c r="J907" s="2">
        <f t="shared" si="59"/>
        <v>0</v>
      </c>
    </row>
    <row r="908" spans="1:10" x14ac:dyDescent="0.3">
      <c r="A908">
        <v>1000017961</v>
      </c>
      <c r="B908" s="1">
        <f>VLOOKUP(A908,[1]Sheet1!A:B,2,FALSE)</f>
        <v>40582</v>
      </c>
      <c r="C908" s="2">
        <v>0</v>
      </c>
      <c r="D908" s="2">
        <f>SUMIFS([1]Sheet1!D:D,[1]Sheet1!A:A,A908,[1]Sheet1!E:E,"Figurado")</f>
        <v>2146.1999999999998</v>
      </c>
      <c r="E908" s="2">
        <f>SUMIFS([1]Sheet1!D:D,[1]Sheet1!A:A,A908,[1]Sheet1!E:E,"Mallas")</f>
        <v>0</v>
      </c>
      <c r="F908" s="2">
        <f>SUMIFS([1]Sheet1!D:D,[1]Sheet1!A:A,A908,[1]Sheet1!E:E,"Materia Prima")</f>
        <v>600</v>
      </c>
      <c r="G908" s="2">
        <f t="shared" si="56"/>
        <v>0.82546153846153836</v>
      </c>
      <c r="H908">
        <f t="shared" si="57"/>
        <v>2</v>
      </c>
      <c r="I908" s="2">
        <f t="shared" si="58"/>
        <v>0.82546153846153836</v>
      </c>
      <c r="J908" s="2">
        <f t="shared" si="59"/>
        <v>0</v>
      </c>
    </row>
    <row r="909" spans="1:10" x14ac:dyDescent="0.3">
      <c r="A909">
        <v>1000017962</v>
      </c>
      <c r="B909" s="1">
        <f>VLOOKUP(A909,[1]Sheet1!A:B,2,FALSE)</f>
        <v>40582</v>
      </c>
      <c r="C909" s="2">
        <v>0</v>
      </c>
      <c r="D909" s="2">
        <f>SUMIFS([1]Sheet1!D:D,[1]Sheet1!A:A,A909,[1]Sheet1!E:E,"Figurado")</f>
        <v>948.3</v>
      </c>
      <c r="E909" s="2">
        <f>SUMIFS([1]Sheet1!D:D,[1]Sheet1!A:A,A909,[1]Sheet1!E:E,"Mallas")</f>
        <v>0</v>
      </c>
      <c r="F909" s="2">
        <f>SUMIFS([1]Sheet1!D:D,[1]Sheet1!A:A,A909,[1]Sheet1!E:E,"Materia Prima")</f>
        <v>0</v>
      </c>
      <c r="G909" s="2">
        <f t="shared" si="56"/>
        <v>0.36473076923076919</v>
      </c>
      <c r="H909">
        <f t="shared" si="57"/>
        <v>1</v>
      </c>
      <c r="I909" s="2">
        <f t="shared" si="58"/>
        <v>0.36473076923076919</v>
      </c>
      <c r="J909" s="2">
        <f t="shared" si="59"/>
        <v>0</v>
      </c>
    </row>
    <row r="910" spans="1:10" x14ac:dyDescent="0.3">
      <c r="A910">
        <v>1000017963</v>
      </c>
      <c r="B910" s="1">
        <f>VLOOKUP(A910,[1]Sheet1!A:B,2,FALSE)</f>
        <v>40582</v>
      </c>
      <c r="C910" s="2">
        <v>0</v>
      </c>
      <c r="D910" s="2">
        <f>SUMIFS([1]Sheet1!D:D,[1]Sheet1!A:A,A910,[1]Sheet1!E:E,"Figurado")</f>
        <v>124.9</v>
      </c>
      <c r="E910" s="2">
        <f>SUMIFS([1]Sheet1!D:D,[1]Sheet1!A:A,A910,[1]Sheet1!E:E,"Mallas")</f>
        <v>0</v>
      </c>
      <c r="F910" s="2">
        <f>SUMIFS([1]Sheet1!D:D,[1]Sheet1!A:A,A910,[1]Sheet1!E:E,"Materia Prima")</f>
        <v>0</v>
      </c>
      <c r="G910" s="2">
        <f t="shared" si="56"/>
        <v>4.8038461538461544E-2</v>
      </c>
      <c r="H910">
        <f t="shared" si="57"/>
        <v>1</v>
      </c>
      <c r="I910" s="2">
        <f t="shared" si="58"/>
        <v>4.8038461538461544E-2</v>
      </c>
      <c r="J910" s="2">
        <f t="shared" si="59"/>
        <v>0</v>
      </c>
    </row>
    <row r="911" spans="1:10" x14ac:dyDescent="0.3">
      <c r="A911">
        <v>1000017964</v>
      </c>
      <c r="B911" s="1">
        <f>VLOOKUP(A911,[1]Sheet1!A:B,2,FALSE)</f>
        <v>40582</v>
      </c>
      <c r="C911" s="2">
        <v>0</v>
      </c>
      <c r="D911" s="2">
        <f>SUMIFS([1]Sheet1!D:D,[1]Sheet1!A:A,A911,[1]Sheet1!E:E,"Figurado")</f>
        <v>0</v>
      </c>
      <c r="E911" s="2">
        <f>SUMIFS([1]Sheet1!D:D,[1]Sheet1!A:A,A911,[1]Sheet1!E:E,"Mallas")</f>
        <v>1651.5</v>
      </c>
      <c r="F911" s="2">
        <f>SUMIFS([1]Sheet1!D:D,[1]Sheet1!A:A,A911,[1]Sheet1!E:E,"Materia Prima")</f>
        <v>0</v>
      </c>
      <c r="G911" s="2">
        <f t="shared" si="56"/>
        <v>2.0643750000000001</v>
      </c>
      <c r="H911">
        <f t="shared" si="57"/>
        <v>1</v>
      </c>
      <c r="I911" s="2">
        <f t="shared" si="58"/>
        <v>0</v>
      </c>
      <c r="J911" s="2">
        <f t="shared" si="59"/>
        <v>2.0643750000000001</v>
      </c>
    </row>
    <row r="912" spans="1:10" x14ac:dyDescent="0.3">
      <c r="A912">
        <v>1000017965</v>
      </c>
      <c r="B912" s="1">
        <f>VLOOKUP(A912,[1]Sheet1!A:B,2,FALSE)</f>
        <v>40582</v>
      </c>
      <c r="C912" s="2">
        <v>0</v>
      </c>
      <c r="D912" s="2">
        <f>SUMIFS([1]Sheet1!D:D,[1]Sheet1!A:A,A912,[1]Sheet1!E:E,"Figurado")</f>
        <v>0</v>
      </c>
      <c r="E912" s="2">
        <f>SUMIFS([1]Sheet1!D:D,[1]Sheet1!A:A,A912,[1]Sheet1!E:E,"Mallas")</f>
        <v>4590.8</v>
      </c>
      <c r="F912" s="2">
        <f>SUMIFS([1]Sheet1!D:D,[1]Sheet1!A:A,A912,[1]Sheet1!E:E,"Materia Prima")</f>
        <v>0</v>
      </c>
      <c r="G912" s="2">
        <f t="shared" si="56"/>
        <v>5.7385000000000002</v>
      </c>
      <c r="H912">
        <f t="shared" si="57"/>
        <v>1</v>
      </c>
      <c r="I912" s="2">
        <f t="shared" si="58"/>
        <v>0</v>
      </c>
      <c r="J912" s="2">
        <f t="shared" si="59"/>
        <v>5.7385000000000002</v>
      </c>
    </row>
    <row r="913" spans="1:10" x14ac:dyDescent="0.3">
      <c r="A913">
        <v>1000017966</v>
      </c>
      <c r="B913" s="1">
        <f>VLOOKUP(A913,[1]Sheet1!A:B,2,FALSE)</f>
        <v>40582</v>
      </c>
      <c r="C913" s="2">
        <v>0</v>
      </c>
      <c r="D913" s="2">
        <f>SUMIFS([1]Sheet1!D:D,[1]Sheet1!A:A,A913,[1]Sheet1!E:E,"Figurado")</f>
        <v>0</v>
      </c>
      <c r="E913" s="2">
        <f>SUMIFS([1]Sheet1!D:D,[1]Sheet1!A:A,A913,[1]Sheet1!E:E,"Mallas")</f>
        <v>9970.48</v>
      </c>
      <c r="F913" s="2">
        <f>SUMIFS([1]Sheet1!D:D,[1]Sheet1!A:A,A913,[1]Sheet1!E:E,"Materia Prima")</f>
        <v>0</v>
      </c>
      <c r="G913" s="2">
        <f t="shared" si="56"/>
        <v>12.463099999999999</v>
      </c>
      <c r="H913">
        <f t="shared" si="57"/>
        <v>1</v>
      </c>
      <c r="I913" s="2">
        <f t="shared" si="58"/>
        <v>0</v>
      </c>
      <c r="J913" s="2">
        <f t="shared" si="59"/>
        <v>12.463099999999999</v>
      </c>
    </row>
    <row r="914" spans="1:10" x14ac:dyDescent="0.3">
      <c r="A914">
        <v>1000017973</v>
      </c>
      <c r="B914" s="1">
        <f>VLOOKUP(A914,[1]Sheet1!A:B,2,FALSE)</f>
        <v>40582</v>
      </c>
      <c r="C914" s="2">
        <v>0</v>
      </c>
      <c r="D914" s="2">
        <f>SUMIFS([1]Sheet1!D:D,[1]Sheet1!A:A,A914,[1]Sheet1!E:E,"Figurado")</f>
        <v>0</v>
      </c>
      <c r="E914" s="2">
        <f>SUMIFS([1]Sheet1!D:D,[1]Sheet1!A:A,A914,[1]Sheet1!E:E,"Mallas")</f>
        <v>0</v>
      </c>
      <c r="F914" s="2">
        <f>SUMIFS([1]Sheet1!D:D,[1]Sheet1!A:A,A914,[1]Sheet1!E:E,"Materia Prima")</f>
        <v>33839.519999999997</v>
      </c>
      <c r="G914" s="2">
        <f t="shared" si="56"/>
        <v>0</v>
      </c>
      <c r="H914">
        <f t="shared" si="57"/>
        <v>1</v>
      </c>
      <c r="I914" s="2">
        <f t="shared" si="58"/>
        <v>0</v>
      </c>
      <c r="J914" s="2">
        <f t="shared" si="59"/>
        <v>0</v>
      </c>
    </row>
    <row r="915" spans="1:10" x14ac:dyDescent="0.3">
      <c r="A915">
        <v>1000017820</v>
      </c>
      <c r="B915" s="1">
        <f>VLOOKUP(A915,[1]Sheet1!A:B,2,FALSE)</f>
        <v>40577</v>
      </c>
      <c r="C915" s="2">
        <v>0</v>
      </c>
      <c r="D915" s="2">
        <f>SUMIFS([1]Sheet1!D:D,[1]Sheet1!A:A,A915,[1]Sheet1!E:E,"Figurado")</f>
        <v>0</v>
      </c>
      <c r="E915" s="2">
        <f>SUMIFS([1]Sheet1!D:D,[1]Sheet1!A:A,A915,[1]Sheet1!E:E,"Mallas")</f>
        <v>1412</v>
      </c>
      <c r="F915" s="2">
        <f>SUMIFS([1]Sheet1!D:D,[1]Sheet1!A:A,A915,[1]Sheet1!E:E,"Materia Prima")</f>
        <v>0</v>
      </c>
      <c r="G915" s="2">
        <f t="shared" si="56"/>
        <v>1.7649999999999999</v>
      </c>
      <c r="H915">
        <f t="shared" si="57"/>
        <v>1</v>
      </c>
      <c r="I915" s="2">
        <f t="shared" si="58"/>
        <v>0</v>
      </c>
      <c r="J915" s="2">
        <f t="shared" si="59"/>
        <v>1.7649999999999999</v>
      </c>
    </row>
    <row r="916" spans="1:10" x14ac:dyDescent="0.3">
      <c r="A916">
        <v>1000017821</v>
      </c>
      <c r="B916" s="1">
        <f>VLOOKUP(A916,[1]Sheet1!A:B,2,FALSE)</f>
        <v>40577</v>
      </c>
      <c r="C916" s="2">
        <v>0</v>
      </c>
      <c r="D916" s="2">
        <f>SUMIFS([1]Sheet1!D:D,[1]Sheet1!A:A,A916,[1]Sheet1!E:E,"Figurado")</f>
        <v>0</v>
      </c>
      <c r="E916" s="2">
        <f>SUMIFS([1]Sheet1!D:D,[1]Sheet1!A:A,A916,[1]Sheet1!E:E,"Mallas")</f>
        <v>950.4</v>
      </c>
      <c r="F916" s="2">
        <f>SUMIFS([1]Sheet1!D:D,[1]Sheet1!A:A,A916,[1]Sheet1!E:E,"Materia Prima")</f>
        <v>0</v>
      </c>
      <c r="G916" s="2">
        <f t="shared" si="56"/>
        <v>1.1879999999999999</v>
      </c>
      <c r="H916">
        <f t="shared" si="57"/>
        <v>1</v>
      </c>
      <c r="I916" s="2">
        <f t="shared" si="58"/>
        <v>0</v>
      </c>
      <c r="J916" s="2">
        <f t="shared" si="59"/>
        <v>1.1879999999999999</v>
      </c>
    </row>
    <row r="917" spans="1:10" x14ac:dyDescent="0.3">
      <c r="A917">
        <v>1000017822</v>
      </c>
      <c r="B917" s="1">
        <f>VLOOKUP(A917,[1]Sheet1!A:B,2,FALSE)</f>
        <v>40577</v>
      </c>
      <c r="C917" s="2">
        <v>0</v>
      </c>
      <c r="D917" s="2">
        <f>SUMIFS([1]Sheet1!D:D,[1]Sheet1!A:A,A917,[1]Sheet1!E:E,"Figurado")</f>
        <v>0</v>
      </c>
      <c r="E917" s="2">
        <f>SUMIFS([1]Sheet1!D:D,[1]Sheet1!A:A,A917,[1]Sheet1!E:E,"Mallas")</f>
        <v>1434.12</v>
      </c>
      <c r="F917" s="2">
        <f>SUMIFS([1]Sheet1!D:D,[1]Sheet1!A:A,A917,[1]Sheet1!E:E,"Materia Prima")</f>
        <v>0</v>
      </c>
      <c r="G917" s="2">
        <f t="shared" si="56"/>
        <v>1.7926499999999999</v>
      </c>
      <c r="H917">
        <f t="shared" si="57"/>
        <v>1</v>
      </c>
      <c r="I917" s="2">
        <f t="shared" si="58"/>
        <v>0</v>
      </c>
      <c r="J917" s="2">
        <f t="shared" si="59"/>
        <v>1.7926499999999999</v>
      </c>
    </row>
    <row r="918" spans="1:10" x14ac:dyDescent="0.3">
      <c r="A918">
        <v>1000017823</v>
      </c>
      <c r="B918" s="1">
        <f>VLOOKUP(A918,[1]Sheet1!A:B,2,FALSE)</f>
        <v>40577</v>
      </c>
      <c r="C918" s="2">
        <v>0</v>
      </c>
      <c r="D918" s="2">
        <f>SUMIFS([1]Sheet1!D:D,[1]Sheet1!A:A,A918,[1]Sheet1!E:E,"Figurado")</f>
        <v>0</v>
      </c>
      <c r="E918" s="2">
        <f>SUMIFS([1]Sheet1!D:D,[1]Sheet1!A:A,A918,[1]Sheet1!E:E,"Mallas")</f>
        <v>3136</v>
      </c>
      <c r="F918" s="2">
        <f>SUMIFS([1]Sheet1!D:D,[1]Sheet1!A:A,A918,[1]Sheet1!E:E,"Materia Prima")</f>
        <v>0</v>
      </c>
      <c r="G918" s="2">
        <f t="shared" si="56"/>
        <v>3.92</v>
      </c>
      <c r="H918">
        <f t="shared" si="57"/>
        <v>1</v>
      </c>
      <c r="I918" s="2">
        <f t="shared" si="58"/>
        <v>0</v>
      </c>
      <c r="J918" s="2">
        <f t="shared" si="59"/>
        <v>3.92</v>
      </c>
    </row>
    <row r="919" spans="1:10" x14ac:dyDescent="0.3">
      <c r="A919">
        <v>1000017826</v>
      </c>
      <c r="B919" s="1">
        <f>VLOOKUP(A919,[1]Sheet1!A:B,2,FALSE)</f>
        <v>40577</v>
      </c>
      <c r="C919" s="2">
        <v>0</v>
      </c>
      <c r="D919" s="2">
        <f>SUMIFS([1]Sheet1!D:D,[1]Sheet1!A:A,A919,[1]Sheet1!E:E,"Figurado")</f>
        <v>0</v>
      </c>
      <c r="E919" s="2">
        <f>SUMIFS([1]Sheet1!D:D,[1]Sheet1!A:A,A919,[1]Sheet1!E:E,"Mallas")</f>
        <v>2739</v>
      </c>
      <c r="F919" s="2">
        <f>SUMIFS([1]Sheet1!D:D,[1]Sheet1!A:A,A919,[1]Sheet1!E:E,"Materia Prima")</f>
        <v>0</v>
      </c>
      <c r="G919" s="2">
        <f t="shared" si="56"/>
        <v>3.4237500000000001</v>
      </c>
      <c r="H919">
        <f t="shared" si="57"/>
        <v>1</v>
      </c>
      <c r="I919" s="2">
        <f t="shared" si="58"/>
        <v>0</v>
      </c>
      <c r="J919" s="2">
        <f t="shared" si="59"/>
        <v>3.4237500000000001</v>
      </c>
    </row>
    <row r="920" spans="1:10" x14ac:dyDescent="0.3">
      <c r="A920">
        <v>1000017886</v>
      </c>
      <c r="B920" s="1">
        <f>VLOOKUP(A920,[1]Sheet1!A:B,2,FALSE)</f>
        <v>40579</v>
      </c>
      <c r="C920" s="2">
        <v>0</v>
      </c>
      <c r="D920" s="2">
        <f>SUMIFS([1]Sheet1!D:D,[1]Sheet1!A:A,A920,[1]Sheet1!E:E,"Figurado")</f>
        <v>0</v>
      </c>
      <c r="E920" s="2">
        <f>SUMIFS([1]Sheet1!D:D,[1]Sheet1!A:A,A920,[1]Sheet1!E:E,"Mallas")</f>
        <v>1436</v>
      </c>
      <c r="F920" s="2">
        <f>SUMIFS([1]Sheet1!D:D,[1]Sheet1!A:A,A920,[1]Sheet1!E:E,"Materia Prima")</f>
        <v>0</v>
      </c>
      <c r="G920" s="2">
        <f t="shared" si="56"/>
        <v>1.7949999999999999</v>
      </c>
      <c r="H920">
        <f t="shared" si="57"/>
        <v>1</v>
      </c>
      <c r="I920" s="2">
        <f t="shared" si="58"/>
        <v>0</v>
      </c>
      <c r="J920" s="2">
        <f t="shared" si="59"/>
        <v>1.7949999999999999</v>
      </c>
    </row>
    <row r="921" spans="1:10" x14ac:dyDescent="0.3">
      <c r="A921">
        <v>1000017887</v>
      </c>
      <c r="B921" s="1">
        <f>VLOOKUP(A921,[1]Sheet1!A:B,2,FALSE)</f>
        <v>40579</v>
      </c>
      <c r="C921" s="2">
        <v>0</v>
      </c>
      <c r="D921" s="2">
        <f>SUMIFS([1]Sheet1!D:D,[1]Sheet1!A:A,A921,[1]Sheet1!E:E,"Figurado")</f>
        <v>0</v>
      </c>
      <c r="E921" s="2">
        <f>SUMIFS([1]Sheet1!D:D,[1]Sheet1!A:A,A921,[1]Sheet1!E:E,"Mallas")</f>
        <v>2490</v>
      </c>
      <c r="F921" s="2">
        <f>SUMIFS([1]Sheet1!D:D,[1]Sheet1!A:A,A921,[1]Sheet1!E:E,"Materia Prima")</f>
        <v>0</v>
      </c>
      <c r="G921" s="2">
        <f t="shared" si="56"/>
        <v>3.1124999999999998</v>
      </c>
      <c r="H921">
        <f t="shared" si="57"/>
        <v>1</v>
      </c>
      <c r="I921" s="2">
        <f t="shared" si="58"/>
        <v>0</v>
      </c>
      <c r="J921" s="2">
        <f t="shared" si="59"/>
        <v>3.1124999999999998</v>
      </c>
    </row>
    <row r="922" spans="1:10" x14ac:dyDescent="0.3">
      <c r="A922">
        <v>1000017889</v>
      </c>
      <c r="B922" s="1">
        <f>VLOOKUP(A922,[1]Sheet1!A:B,2,FALSE)</f>
        <v>40579</v>
      </c>
      <c r="C922" s="2">
        <v>0</v>
      </c>
      <c r="D922" s="2">
        <f>SUMIFS([1]Sheet1!D:D,[1]Sheet1!A:A,A922,[1]Sheet1!E:E,"Figurado")</f>
        <v>0</v>
      </c>
      <c r="E922" s="2">
        <f>SUMIFS([1]Sheet1!D:D,[1]Sheet1!A:A,A922,[1]Sheet1!E:E,"Mallas")</f>
        <v>456.96</v>
      </c>
      <c r="F922" s="2">
        <f>SUMIFS([1]Sheet1!D:D,[1]Sheet1!A:A,A922,[1]Sheet1!E:E,"Materia Prima")</f>
        <v>0</v>
      </c>
      <c r="G922" s="2">
        <f t="shared" si="56"/>
        <v>0.57119999999999993</v>
      </c>
      <c r="H922">
        <f t="shared" si="57"/>
        <v>1</v>
      </c>
      <c r="I922" s="2">
        <f t="shared" si="58"/>
        <v>0</v>
      </c>
      <c r="J922" s="2">
        <f t="shared" si="59"/>
        <v>0.57119999999999993</v>
      </c>
    </row>
    <row r="923" spans="1:10" x14ac:dyDescent="0.3">
      <c r="A923">
        <v>1000017890</v>
      </c>
      <c r="B923" s="1">
        <f>VLOOKUP(A923,[1]Sheet1!A:B,2,FALSE)</f>
        <v>40579</v>
      </c>
      <c r="C923" s="2">
        <v>0</v>
      </c>
      <c r="D923" s="2">
        <f>SUMIFS([1]Sheet1!D:D,[1]Sheet1!A:A,A923,[1]Sheet1!E:E,"Figurado")</f>
        <v>0</v>
      </c>
      <c r="E923" s="2">
        <f>SUMIFS([1]Sheet1!D:D,[1]Sheet1!A:A,A923,[1]Sheet1!E:E,"Mallas")</f>
        <v>0</v>
      </c>
      <c r="F923" s="2">
        <f>SUMIFS([1]Sheet1!D:D,[1]Sheet1!A:A,A923,[1]Sheet1!E:E,"Materia Prima")</f>
        <v>505</v>
      </c>
      <c r="G923" s="2">
        <f t="shared" si="56"/>
        <v>0</v>
      </c>
      <c r="H923">
        <f t="shared" si="57"/>
        <v>1</v>
      </c>
      <c r="I923" s="2">
        <f t="shared" si="58"/>
        <v>0</v>
      </c>
      <c r="J923" s="2">
        <f t="shared" si="59"/>
        <v>0</v>
      </c>
    </row>
    <row r="924" spans="1:10" x14ac:dyDescent="0.3">
      <c r="A924">
        <v>1000017891</v>
      </c>
      <c r="B924" s="1">
        <f>VLOOKUP(A924,[1]Sheet1!A:B,2,FALSE)</f>
        <v>40579</v>
      </c>
      <c r="C924" s="2">
        <v>0</v>
      </c>
      <c r="D924" s="2">
        <f>SUMIFS([1]Sheet1!D:D,[1]Sheet1!A:A,A924,[1]Sheet1!E:E,"Figurado")</f>
        <v>0</v>
      </c>
      <c r="E924" s="2">
        <f>SUMIFS([1]Sheet1!D:D,[1]Sheet1!A:A,A924,[1]Sheet1!E:E,"Mallas")</f>
        <v>3164.64</v>
      </c>
      <c r="F924" s="2">
        <f>SUMIFS([1]Sheet1!D:D,[1]Sheet1!A:A,A924,[1]Sheet1!E:E,"Materia Prima")</f>
        <v>300</v>
      </c>
      <c r="G924" s="2">
        <f t="shared" si="56"/>
        <v>3.9558</v>
      </c>
      <c r="H924">
        <f t="shared" si="57"/>
        <v>2</v>
      </c>
      <c r="I924" s="2">
        <f t="shared" si="58"/>
        <v>0</v>
      </c>
      <c r="J924" s="2">
        <f t="shared" si="59"/>
        <v>3.9558</v>
      </c>
    </row>
    <row r="925" spans="1:10" x14ac:dyDescent="0.3">
      <c r="A925">
        <v>1000017892</v>
      </c>
      <c r="B925" s="1">
        <f>VLOOKUP(A925,[1]Sheet1!A:B,2,FALSE)</f>
        <v>40579</v>
      </c>
      <c r="C925" s="2">
        <v>0</v>
      </c>
      <c r="D925" s="2">
        <f>SUMIFS([1]Sheet1!D:D,[1]Sheet1!A:A,A925,[1]Sheet1!E:E,"Figurado")</f>
        <v>0</v>
      </c>
      <c r="E925" s="2">
        <f>SUMIFS([1]Sheet1!D:D,[1]Sheet1!A:A,A925,[1]Sheet1!E:E,"Mallas")</f>
        <v>2170.56</v>
      </c>
      <c r="F925" s="2">
        <f>SUMIFS([1]Sheet1!D:D,[1]Sheet1!A:A,A925,[1]Sheet1!E:E,"Materia Prima")</f>
        <v>300</v>
      </c>
      <c r="G925" s="2">
        <f t="shared" si="56"/>
        <v>2.7132000000000001</v>
      </c>
      <c r="H925">
        <f t="shared" si="57"/>
        <v>2</v>
      </c>
      <c r="I925" s="2">
        <f t="shared" si="58"/>
        <v>0</v>
      </c>
      <c r="J925" s="2">
        <f t="shared" si="59"/>
        <v>2.7132000000000001</v>
      </c>
    </row>
    <row r="926" spans="1:10" x14ac:dyDescent="0.3">
      <c r="A926">
        <v>1000017893</v>
      </c>
      <c r="B926" s="1">
        <f>VLOOKUP(A926,[1]Sheet1!A:B,2,FALSE)</f>
        <v>40579</v>
      </c>
      <c r="C926" s="2">
        <v>0</v>
      </c>
      <c r="D926" s="2">
        <f>SUMIFS([1]Sheet1!D:D,[1]Sheet1!A:A,A926,[1]Sheet1!E:E,"Figurado")</f>
        <v>0</v>
      </c>
      <c r="E926" s="2">
        <f>SUMIFS([1]Sheet1!D:D,[1]Sheet1!A:A,A926,[1]Sheet1!E:E,"Mallas")</f>
        <v>1026.96</v>
      </c>
      <c r="F926" s="2">
        <f>SUMIFS([1]Sheet1!D:D,[1]Sheet1!A:A,A926,[1]Sheet1!E:E,"Materia Prima")</f>
        <v>0</v>
      </c>
      <c r="G926" s="2">
        <f t="shared" si="56"/>
        <v>1.2837000000000001</v>
      </c>
      <c r="H926">
        <f t="shared" si="57"/>
        <v>1</v>
      </c>
      <c r="I926" s="2">
        <f t="shared" si="58"/>
        <v>0</v>
      </c>
      <c r="J926" s="2">
        <f t="shared" si="59"/>
        <v>1.2837000000000001</v>
      </c>
    </row>
    <row r="927" spans="1:10" x14ac:dyDescent="0.3">
      <c r="A927">
        <v>1000017894</v>
      </c>
      <c r="B927" s="1">
        <f>VLOOKUP(A927,[1]Sheet1!A:B,2,FALSE)</f>
        <v>40579</v>
      </c>
      <c r="C927" s="2">
        <v>0</v>
      </c>
      <c r="D927" s="2">
        <f>SUMIFS([1]Sheet1!D:D,[1]Sheet1!A:A,A927,[1]Sheet1!E:E,"Figurado")</f>
        <v>0</v>
      </c>
      <c r="E927" s="2">
        <f>SUMIFS([1]Sheet1!D:D,[1]Sheet1!A:A,A927,[1]Sheet1!E:E,"Mallas")</f>
        <v>114.76</v>
      </c>
      <c r="F927" s="2">
        <f>SUMIFS([1]Sheet1!D:D,[1]Sheet1!A:A,A927,[1]Sheet1!E:E,"Materia Prima")</f>
        <v>0</v>
      </c>
      <c r="G927" s="2">
        <f t="shared" si="56"/>
        <v>0.14344999999999999</v>
      </c>
      <c r="H927">
        <f t="shared" si="57"/>
        <v>1</v>
      </c>
      <c r="I927" s="2">
        <f t="shared" si="58"/>
        <v>0</v>
      </c>
      <c r="J927" s="2">
        <f t="shared" si="59"/>
        <v>0.14344999999999999</v>
      </c>
    </row>
    <row r="928" spans="1:10" x14ac:dyDescent="0.3">
      <c r="A928">
        <v>1000017895</v>
      </c>
      <c r="B928" s="1">
        <f>VLOOKUP(A928,[1]Sheet1!A:B,2,FALSE)</f>
        <v>40579</v>
      </c>
      <c r="C928" s="2">
        <v>0</v>
      </c>
      <c r="D928" s="2">
        <f>SUMIFS([1]Sheet1!D:D,[1]Sheet1!A:A,A928,[1]Sheet1!E:E,"Figurado")</f>
        <v>0</v>
      </c>
      <c r="E928" s="2">
        <f>SUMIFS([1]Sheet1!D:D,[1]Sheet1!A:A,A928,[1]Sheet1!E:E,"Mallas")</f>
        <v>1360</v>
      </c>
      <c r="F928" s="2">
        <f>SUMIFS([1]Sheet1!D:D,[1]Sheet1!A:A,A928,[1]Sheet1!E:E,"Materia Prima")</f>
        <v>0</v>
      </c>
      <c r="G928" s="2">
        <f t="shared" si="56"/>
        <v>1.7</v>
      </c>
      <c r="H928">
        <f t="shared" si="57"/>
        <v>1</v>
      </c>
      <c r="I928" s="2">
        <f t="shared" si="58"/>
        <v>0</v>
      </c>
      <c r="J928" s="2">
        <f t="shared" si="59"/>
        <v>1.7</v>
      </c>
    </row>
    <row r="929" spans="1:10" x14ac:dyDescent="0.3">
      <c r="A929">
        <v>1000017873</v>
      </c>
      <c r="B929" s="1">
        <f>VLOOKUP(A929,[1]Sheet1!A:B,2,FALSE)</f>
        <v>40578</v>
      </c>
      <c r="C929" s="2">
        <v>0</v>
      </c>
      <c r="D929" s="2">
        <f>SUMIFS([1]Sheet1!D:D,[1]Sheet1!A:A,A929,[1]Sheet1!E:E,"Figurado")</f>
        <v>0</v>
      </c>
      <c r="E929" s="2">
        <f>SUMIFS([1]Sheet1!D:D,[1]Sheet1!A:A,A929,[1]Sheet1!E:E,"Mallas")</f>
        <v>2889.28</v>
      </c>
      <c r="F929" s="2">
        <f>SUMIFS([1]Sheet1!D:D,[1]Sheet1!A:A,A929,[1]Sheet1!E:E,"Materia Prima")</f>
        <v>0</v>
      </c>
      <c r="G929" s="2">
        <f t="shared" si="56"/>
        <v>3.6116000000000001</v>
      </c>
      <c r="H929">
        <f t="shared" si="57"/>
        <v>1</v>
      </c>
      <c r="I929" s="2">
        <f t="shared" si="58"/>
        <v>0</v>
      </c>
      <c r="J929" s="2">
        <f t="shared" si="59"/>
        <v>3.6116000000000001</v>
      </c>
    </row>
    <row r="930" spans="1:10" x14ac:dyDescent="0.3">
      <c r="A930">
        <v>1000017875</v>
      </c>
      <c r="B930" s="1">
        <f>VLOOKUP(A930,[1]Sheet1!A:B,2,FALSE)</f>
        <v>40578</v>
      </c>
      <c r="C930" s="2">
        <v>0</v>
      </c>
      <c r="D930" s="2">
        <f>SUMIFS([1]Sheet1!D:D,[1]Sheet1!A:A,A930,[1]Sheet1!E:E,"Figurado")</f>
        <v>0</v>
      </c>
      <c r="E930" s="2">
        <f>SUMIFS([1]Sheet1!D:D,[1]Sheet1!A:A,A930,[1]Sheet1!E:E,"Mallas")</f>
        <v>0</v>
      </c>
      <c r="F930" s="2">
        <f>SUMIFS([1]Sheet1!D:D,[1]Sheet1!A:A,A930,[1]Sheet1!E:E,"Materia Prima")</f>
        <v>1000</v>
      </c>
      <c r="G930" s="2">
        <f t="shared" si="56"/>
        <v>0</v>
      </c>
      <c r="H930">
        <f t="shared" si="57"/>
        <v>1</v>
      </c>
      <c r="I930" s="2">
        <f t="shared" si="58"/>
        <v>0</v>
      </c>
      <c r="J930" s="2">
        <f t="shared" si="59"/>
        <v>0</v>
      </c>
    </row>
    <row r="931" spans="1:10" x14ac:dyDescent="0.3">
      <c r="A931">
        <v>1000017924</v>
      </c>
      <c r="B931" s="1">
        <f>VLOOKUP(A931,[1]Sheet1!A:B,2,FALSE)</f>
        <v>40581</v>
      </c>
      <c r="C931" s="2">
        <v>0</v>
      </c>
      <c r="D931" s="2">
        <f>SUMIFS([1]Sheet1!D:D,[1]Sheet1!A:A,A931,[1]Sheet1!E:E,"Figurado")</f>
        <v>0</v>
      </c>
      <c r="E931" s="2">
        <f>SUMIFS([1]Sheet1!D:D,[1]Sheet1!A:A,A931,[1]Sheet1!E:E,"Mallas")</f>
        <v>680</v>
      </c>
      <c r="F931" s="2">
        <f>SUMIFS([1]Sheet1!D:D,[1]Sheet1!A:A,A931,[1]Sheet1!E:E,"Materia Prima")</f>
        <v>0</v>
      </c>
      <c r="G931" s="2">
        <f t="shared" si="56"/>
        <v>0.85</v>
      </c>
      <c r="H931">
        <f t="shared" si="57"/>
        <v>1</v>
      </c>
      <c r="I931" s="2">
        <f t="shared" si="58"/>
        <v>0</v>
      </c>
      <c r="J931" s="2">
        <f t="shared" si="59"/>
        <v>0.85</v>
      </c>
    </row>
    <row r="932" spans="1:10" x14ac:dyDescent="0.3">
      <c r="A932">
        <v>1000017925</v>
      </c>
      <c r="B932" s="1">
        <f>VLOOKUP(A932,[1]Sheet1!A:B,2,FALSE)</f>
        <v>40581</v>
      </c>
      <c r="C932" s="2">
        <v>0</v>
      </c>
      <c r="D932" s="2">
        <f>SUMIFS([1]Sheet1!D:D,[1]Sheet1!A:A,A932,[1]Sheet1!E:E,"Figurado")</f>
        <v>0</v>
      </c>
      <c r="E932" s="2">
        <f>SUMIFS([1]Sheet1!D:D,[1]Sheet1!A:A,A932,[1]Sheet1!E:E,"Mallas")</f>
        <v>0</v>
      </c>
      <c r="F932" s="2">
        <f>SUMIFS([1]Sheet1!D:D,[1]Sheet1!A:A,A932,[1]Sheet1!E:E,"Materia Prima")</f>
        <v>320</v>
      </c>
      <c r="G932" s="2">
        <f t="shared" si="56"/>
        <v>0</v>
      </c>
      <c r="H932">
        <f t="shared" si="57"/>
        <v>1</v>
      </c>
      <c r="I932" s="2">
        <f t="shared" si="58"/>
        <v>0</v>
      </c>
      <c r="J932" s="2">
        <f t="shared" si="59"/>
        <v>0</v>
      </c>
    </row>
    <row r="933" spans="1:10" x14ac:dyDescent="0.3">
      <c r="A933">
        <v>1000017927</v>
      </c>
      <c r="B933" s="1">
        <f>VLOOKUP(A933,[1]Sheet1!A:B,2,FALSE)</f>
        <v>40581</v>
      </c>
      <c r="C933" s="2">
        <v>0</v>
      </c>
      <c r="D933" s="2">
        <f>SUMIFS([1]Sheet1!D:D,[1]Sheet1!A:A,A933,[1]Sheet1!E:E,"Figurado")</f>
        <v>0</v>
      </c>
      <c r="E933" s="2">
        <f>SUMIFS([1]Sheet1!D:D,[1]Sheet1!A:A,A933,[1]Sheet1!E:E,"Mallas")</f>
        <v>2749</v>
      </c>
      <c r="F933" s="2">
        <f>SUMIFS([1]Sheet1!D:D,[1]Sheet1!A:A,A933,[1]Sheet1!E:E,"Materia Prima")</f>
        <v>0</v>
      </c>
      <c r="G933" s="2">
        <f t="shared" si="56"/>
        <v>3.4362499999999998</v>
      </c>
      <c r="H933">
        <f t="shared" si="57"/>
        <v>1</v>
      </c>
      <c r="I933" s="2">
        <f t="shared" si="58"/>
        <v>0</v>
      </c>
      <c r="J933" s="2">
        <f t="shared" si="59"/>
        <v>3.4362499999999998</v>
      </c>
    </row>
    <row r="934" spans="1:10" x14ac:dyDescent="0.3">
      <c r="A934">
        <v>1000017928</v>
      </c>
      <c r="B934" s="1">
        <f>VLOOKUP(A934,[1]Sheet1!A:B,2,FALSE)</f>
        <v>40581</v>
      </c>
      <c r="C934" s="2">
        <v>0</v>
      </c>
      <c r="D934" s="2">
        <f>SUMIFS([1]Sheet1!D:D,[1]Sheet1!A:A,A934,[1]Sheet1!E:E,"Figurado")</f>
        <v>0</v>
      </c>
      <c r="E934" s="2">
        <f>SUMIFS([1]Sheet1!D:D,[1]Sheet1!A:A,A934,[1]Sheet1!E:E,"Mallas")</f>
        <v>340</v>
      </c>
      <c r="F934" s="2">
        <f>SUMIFS([1]Sheet1!D:D,[1]Sheet1!A:A,A934,[1]Sheet1!E:E,"Materia Prima")</f>
        <v>0</v>
      </c>
      <c r="G934" s="2">
        <f t="shared" si="56"/>
        <v>0.42499999999999999</v>
      </c>
      <c r="H934">
        <f t="shared" si="57"/>
        <v>1</v>
      </c>
      <c r="I934" s="2">
        <f t="shared" si="58"/>
        <v>0</v>
      </c>
      <c r="J934" s="2">
        <f t="shared" si="59"/>
        <v>0.42499999999999999</v>
      </c>
    </row>
    <row r="935" spans="1:10" x14ac:dyDescent="0.3">
      <c r="A935">
        <v>1000017979</v>
      </c>
      <c r="B935" s="1">
        <f>VLOOKUP(A935,[1]Sheet1!A:B,2,FALSE)</f>
        <v>40582</v>
      </c>
      <c r="C935" s="2">
        <v>0</v>
      </c>
      <c r="D935" s="2">
        <f>SUMIFS([1]Sheet1!D:D,[1]Sheet1!A:A,A935,[1]Sheet1!E:E,"Figurado")</f>
        <v>0</v>
      </c>
      <c r="E935" s="2">
        <f>SUMIFS([1]Sheet1!D:D,[1]Sheet1!A:A,A935,[1]Sheet1!E:E,"Mallas")</f>
        <v>8607</v>
      </c>
      <c r="F935" s="2">
        <f>SUMIFS([1]Sheet1!D:D,[1]Sheet1!A:A,A935,[1]Sheet1!E:E,"Materia Prima")</f>
        <v>0</v>
      </c>
      <c r="G935" s="2">
        <f t="shared" si="56"/>
        <v>10.758749999999999</v>
      </c>
      <c r="H935">
        <f t="shared" si="57"/>
        <v>1</v>
      </c>
      <c r="I935" s="2">
        <f t="shared" si="58"/>
        <v>0</v>
      </c>
      <c r="J935" s="2">
        <f t="shared" si="59"/>
        <v>10.758749999999999</v>
      </c>
    </row>
    <row r="936" spans="1:10" x14ac:dyDescent="0.3">
      <c r="A936">
        <v>1000017995</v>
      </c>
      <c r="B936" s="1">
        <f>VLOOKUP(A936,[1]Sheet1!A:B,2,FALSE)</f>
        <v>40583</v>
      </c>
      <c r="C936" s="2">
        <v>0</v>
      </c>
      <c r="D936" s="2">
        <f>SUMIFS([1]Sheet1!D:D,[1]Sheet1!A:A,A936,[1]Sheet1!E:E,"Figurado")</f>
        <v>0</v>
      </c>
      <c r="E936" s="2">
        <f>SUMIFS([1]Sheet1!D:D,[1]Sheet1!A:A,A936,[1]Sheet1!E:E,"Mallas")</f>
        <v>4698</v>
      </c>
      <c r="F936" s="2">
        <f>SUMIFS([1]Sheet1!D:D,[1]Sheet1!A:A,A936,[1]Sheet1!E:E,"Materia Prima")</f>
        <v>0</v>
      </c>
      <c r="G936" s="2">
        <f t="shared" si="56"/>
        <v>5.8724999999999996</v>
      </c>
      <c r="H936">
        <f t="shared" si="57"/>
        <v>1</v>
      </c>
      <c r="I936" s="2">
        <f t="shared" si="58"/>
        <v>0</v>
      </c>
      <c r="J936" s="2">
        <f t="shared" si="59"/>
        <v>5.8724999999999996</v>
      </c>
    </row>
    <row r="937" spans="1:10" x14ac:dyDescent="0.3">
      <c r="A937">
        <v>1000017996</v>
      </c>
      <c r="B937" s="1">
        <f>VLOOKUP(A937,[1]Sheet1!A:B,2,FALSE)</f>
        <v>40583</v>
      </c>
      <c r="C937" s="2">
        <v>0</v>
      </c>
      <c r="D937" s="2">
        <f>SUMIFS([1]Sheet1!D:D,[1]Sheet1!A:A,A937,[1]Sheet1!E:E,"Figurado")</f>
        <v>0</v>
      </c>
      <c r="E937" s="2">
        <f>SUMIFS([1]Sheet1!D:D,[1]Sheet1!A:A,A937,[1]Sheet1!E:E,"Mallas")</f>
        <v>8151.28</v>
      </c>
      <c r="F937" s="2">
        <f>SUMIFS([1]Sheet1!D:D,[1]Sheet1!A:A,A937,[1]Sheet1!E:E,"Materia Prima")</f>
        <v>0</v>
      </c>
      <c r="G937" s="2">
        <f t="shared" si="56"/>
        <v>10.1891</v>
      </c>
      <c r="H937">
        <f t="shared" si="57"/>
        <v>1</v>
      </c>
      <c r="I937" s="2">
        <f t="shared" si="58"/>
        <v>0</v>
      </c>
      <c r="J937" s="2">
        <f t="shared" si="59"/>
        <v>10.1891</v>
      </c>
    </row>
    <row r="938" spans="1:10" x14ac:dyDescent="0.3">
      <c r="A938">
        <v>1000018003</v>
      </c>
      <c r="B938" s="1">
        <f>VLOOKUP(A938,[1]Sheet1!A:B,2,FALSE)</f>
        <v>40583</v>
      </c>
      <c r="C938" s="2">
        <v>0</v>
      </c>
      <c r="D938" s="2">
        <f>SUMIFS([1]Sheet1!D:D,[1]Sheet1!A:A,A938,[1]Sheet1!E:E,"Figurado")</f>
        <v>0</v>
      </c>
      <c r="E938" s="2">
        <f>SUMIFS([1]Sheet1!D:D,[1]Sheet1!A:A,A938,[1]Sheet1!E:E,"Mallas")</f>
        <v>2277.7199999999998</v>
      </c>
      <c r="F938" s="2">
        <f>SUMIFS([1]Sheet1!D:D,[1]Sheet1!A:A,A938,[1]Sheet1!E:E,"Materia Prima")</f>
        <v>0</v>
      </c>
      <c r="G938" s="2">
        <f t="shared" si="56"/>
        <v>2.8471499999999996</v>
      </c>
      <c r="H938">
        <f t="shared" si="57"/>
        <v>1</v>
      </c>
      <c r="I938" s="2">
        <f t="shared" si="58"/>
        <v>0</v>
      </c>
      <c r="J938" s="2">
        <f t="shared" si="59"/>
        <v>2.8471499999999996</v>
      </c>
    </row>
    <row r="939" spans="1:10" x14ac:dyDescent="0.3">
      <c r="A939">
        <v>1000018004</v>
      </c>
      <c r="B939" s="1">
        <f>VLOOKUP(A939,[1]Sheet1!A:B,2,FALSE)</f>
        <v>40583</v>
      </c>
      <c r="C939" s="2">
        <v>0</v>
      </c>
      <c r="D939" s="2">
        <f>SUMIFS([1]Sheet1!D:D,[1]Sheet1!A:A,A939,[1]Sheet1!E:E,"Figurado")</f>
        <v>0</v>
      </c>
      <c r="E939" s="2">
        <f>SUMIFS([1]Sheet1!D:D,[1]Sheet1!A:A,A939,[1]Sheet1!E:E,"Mallas")</f>
        <v>1975.05</v>
      </c>
      <c r="F939" s="2">
        <f>SUMIFS([1]Sheet1!D:D,[1]Sheet1!A:A,A939,[1]Sheet1!E:E,"Materia Prima")</f>
        <v>1033</v>
      </c>
      <c r="G939" s="2">
        <f t="shared" si="56"/>
        <v>2.4688124999999999</v>
      </c>
      <c r="H939">
        <f t="shared" si="57"/>
        <v>2</v>
      </c>
      <c r="I939" s="2">
        <f t="shared" si="58"/>
        <v>0</v>
      </c>
      <c r="J939" s="2">
        <f t="shared" si="59"/>
        <v>2.4688124999999999</v>
      </c>
    </row>
    <row r="940" spans="1:10" x14ac:dyDescent="0.3">
      <c r="A940">
        <v>1000017974</v>
      </c>
      <c r="B940" s="1">
        <f>VLOOKUP(A940,[1]Sheet1!A:B,2,FALSE)</f>
        <v>40582</v>
      </c>
      <c r="C940" s="2">
        <v>0</v>
      </c>
      <c r="D940" s="2">
        <f>SUMIFS([1]Sheet1!D:D,[1]Sheet1!A:A,A940,[1]Sheet1!E:E,"Figurado")</f>
        <v>34</v>
      </c>
      <c r="E940" s="2">
        <f>SUMIFS([1]Sheet1!D:D,[1]Sheet1!A:A,A940,[1]Sheet1!E:E,"Mallas")</f>
        <v>0</v>
      </c>
      <c r="F940" s="2">
        <f>SUMIFS([1]Sheet1!D:D,[1]Sheet1!A:A,A940,[1]Sheet1!E:E,"Materia Prima")</f>
        <v>0</v>
      </c>
      <c r="G940" s="2">
        <f t="shared" si="56"/>
        <v>1.3076923076923076E-2</v>
      </c>
      <c r="H940">
        <f t="shared" si="57"/>
        <v>1</v>
      </c>
      <c r="I940" s="2">
        <f t="shared" si="58"/>
        <v>1.3076923076923076E-2</v>
      </c>
      <c r="J940" s="2">
        <f t="shared" si="59"/>
        <v>0</v>
      </c>
    </row>
    <row r="941" spans="1:10" x14ac:dyDescent="0.3">
      <c r="A941">
        <v>1000017975</v>
      </c>
      <c r="B941" s="1">
        <f>VLOOKUP(A941,[1]Sheet1!A:B,2,FALSE)</f>
        <v>40582</v>
      </c>
      <c r="C941" s="2">
        <v>0</v>
      </c>
      <c r="D941" s="2">
        <f>SUMIFS([1]Sheet1!D:D,[1]Sheet1!A:A,A941,[1]Sheet1!E:E,"Figurado")</f>
        <v>34.5</v>
      </c>
      <c r="E941" s="2">
        <f>SUMIFS([1]Sheet1!D:D,[1]Sheet1!A:A,A941,[1]Sheet1!E:E,"Mallas")</f>
        <v>0</v>
      </c>
      <c r="F941" s="2">
        <f>SUMIFS([1]Sheet1!D:D,[1]Sheet1!A:A,A941,[1]Sheet1!E:E,"Materia Prima")</f>
        <v>0</v>
      </c>
      <c r="G941" s="2">
        <f t="shared" si="56"/>
        <v>1.3269230769230769E-2</v>
      </c>
      <c r="H941">
        <f t="shared" si="57"/>
        <v>1</v>
      </c>
      <c r="I941" s="2">
        <f t="shared" si="58"/>
        <v>1.3269230769230769E-2</v>
      </c>
      <c r="J941" s="2">
        <f t="shared" si="59"/>
        <v>0</v>
      </c>
    </row>
    <row r="942" spans="1:10" x14ac:dyDescent="0.3">
      <c r="A942">
        <v>1000017976</v>
      </c>
      <c r="B942" s="1">
        <f>VLOOKUP(A942,[1]Sheet1!A:B,2,FALSE)</f>
        <v>40582</v>
      </c>
      <c r="C942" s="2">
        <v>0</v>
      </c>
      <c r="D942" s="2">
        <f>SUMIFS([1]Sheet1!D:D,[1]Sheet1!A:A,A942,[1]Sheet1!E:E,"Figurado")</f>
        <v>34.5</v>
      </c>
      <c r="E942" s="2">
        <f>SUMIFS([1]Sheet1!D:D,[1]Sheet1!A:A,A942,[1]Sheet1!E:E,"Mallas")</f>
        <v>0</v>
      </c>
      <c r="F942" s="2">
        <f>SUMIFS([1]Sheet1!D:D,[1]Sheet1!A:A,A942,[1]Sheet1!E:E,"Materia Prima")</f>
        <v>0</v>
      </c>
      <c r="G942" s="2">
        <f t="shared" si="56"/>
        <v>1.3269230769230769E-2</v>
      </c>
      <c r="H942">
        <f t="shared" si="57"/>
        <v>1</v>
      </c>
      <c r="I942" s="2">
        <f t="shared" si="58"/>
        <v>1.3269230769230769E-2</v>
      </c>
      <c r="J942" s="2">
        <f t="shared" si="59"/>
        <v>0</v>
      </c>
    </row>
    <row r="943" spans="1:10" x14ac:dyDescent="0.3">
      <c r="A943">
        <v>1000017977</v>
      </c>
      <c r="B943" s="1">
        <f>VLOOKUP(A943,[1]Sheet1!A:B,2,FALSE)</f>
        <v>40582</v>
      </c>
      <c r="C943" s="2">
        <v>0</v>
      </c>
      <c r="D943" s="2">
        <f>SUMIFS([1]Sheet1!D:D,[1]Sheet1!A:A,A943,[1]Sheet1!E:E,"Figurado")</f>
        <v>34.5</v>
      </c>
      <c r="E943" s="2">
        <f>SUMIFS([1]Sheet1!D:D,[1]Sheet1!A:A,A943,[1]Sheet1!E:E,"Mallas")</f>
        <v>0</v>
      </c>
      <c r="F943" s="2">
        <f>SUMIFS([1]Sheet1!D:D,[1]Sheet1!A:A,A943,[1]Sheet1!E:E,"Materia Prima")</f>
        <v>0</v>
      </c>
      <c r="G943" s="2">
        <f t="shared" si="56"/>
        <v>1.3269230769230769E-2</v>
      </c>
      <c r="H943">
        <f t="shared" si="57"/>
        <v>1</v>
      </c>
      <c r="I943" s="2">
        <f t="shared" si="58"/>
        <v>1.3269230769230769E-2</v>
      </c>
      <c r="J943" s="2">
        <f t="shared" si="59"/>
        <v>0</v>
      </c>
    </row>
    <row r="944" spans="1:10" x14ac:dyDescent="0.3">
      <c r="A944">
        <v>1000017978</v>
      </c>
      <c r="B944" s="1">
        <f>VLOOKUP(A944,[1]Sheet1!A:B,2,FALSE)</f>
        <v>40582</v>
      </c>
      <c r="C944" s="2">
        <v>0</v>
      </c>
      <c r="D944" s="2">
        <f>SUMIFS([1]Sheet1!D:D,[1]Sheet1!A:A,A944,[1]Sheet1!E:E,"Figurado")</f>
        <v>34.5</v>
      </c>
      <c r="E944" s="2">
        <f>SUMIFS([1]Sheet1!D:D,[1]Sheet1!A:A,A944,[1]Sheet1!E:E,"Mallas")</f>
        <v>0</v>
      </c>
      <c r="F944" s="2">
        <f>SUMIFS([1]Sheet1!D:D,[1]Sheet1!A:A,A944,[1]Sheet1!E:E,"Materia Prima")</f>
        <v>0</v>
      </c>
      <c r="G944" s="2">
        <f t="shared" si="56"/>
        <v>1.3269230769230769E-2</v>
      </c>
      <c r="H944">
        <f t="shared" si="57"/>
        <v>1</v>
      </c>
      <c r="I944" s="2">
        <f t="shared" si="58"/>
        <v>1.3269230769230769E-2</v>
      </c>
      <c r="J944" s="2">
        <f t="shared" si="59"/>
        <v>0</v>
      </c>
    </row>
    <row r="945" spans="1:10" x14ac:dyDescent="0.3">
      <c r="A945">
        <v>1000017992</v>
      </c>
      <c r="B945" s="1">
        <f>VLOOKUP(A945,[1]Sheet1!A:B,2,FALSE)</f>
        <v>40583</v>
      </c>
      <c r="C945" s="2">
        <v>0</v>
      </c>
      <c r="D945" s="2">
        <f>SUMIFS([1]Sheet1!D:D,[1]Sheet1!A:A,A945,[1]Sheet1!E:E,"Figurado")</f>
        <v>0</v>
      </c>
      <c r="E945" s="2">
        <f>SUMIFS([1]Sheet1!D:D,[1]Sheet1!A:A,A945,[1]Sheet1!E:E,"Mallas")</f>
        <v>4050.8</v>
      </c>
      <c r="F945" s="2">
        <f>SUMIFS([1]Sheet1!D:D,[1]Sheet1!A:A,A945,[1]Sheet1!E:E,"Materia Prima")</f>
        <v>0</v>
      </c>
      <c r="G945" s="2">
        <f t="shared" si="56"/>
        <v>5.0635000000000003</v>
      </c>
      <c r="H945">
        <f t="shared" si="57"/>
        <v>1</v>
      </c>
      <c r="I945" s="2">
        <f t="shared" si="58"/>
        <v>0</v>
      </c>
      <c r="J945" s="2">
        <f t="shared" si="59"/>
        <v>5.0635000000000003</v>
      </c>
    </row>
    <row r="946" spans="1:10" x14ac:dyDescent="0.3">
      <c r="A946">
        <v>1000017993</v>
      </c>
      <c r="B946" s="1">
        <f>VLOOKUP(A946,[1]Sheet1!A:B,2,FALSE)</f>
        <v>40583</v>
      </c>
      <c r="C946" s="2">
        <v>0</v>
      </c>
      <c r="D946" s="2">
        <f>SUMIFS([1]Sheet1!D:D,[1]Sheet1!A:A,A946,[1]Sheet1!E:E,"Figurado")</f>
        <v>0</v>
      </c>
      <c r="E946" s="2">
        <f>SUMIFS([1]Sheet1!D:D,[1]Sheet1!A:A,A946,[1]Sheet1!E:E,"Mallas")</f>
        <v>4235.5200000000004</v>
      </c>
      <c r="F946" s="2">
        <f>SUMIFS([1]Sheet1!D:D,[1]Sheet1!A:A,A946,[1]Sheet1!E:E,"Materia Prima")</f>
        <v>0</v>
      </c>
      <c r="G946" s="2">
        <f t="shared" si="56"/>
        <v>5.2944000000000004</v>
      </c>
      <c r="H946">
        <f t="shared" si="57"/>
        <v>1</v>
      </c>
      <c r="I946" s="2">
        <f t="shared" si="58"/>
        <v>0</v>
      </c>
      <c r="J946" s="2">
        <f t="shared" si="59"/>
        <v>5.2944000000000004</v>
      </c>
    </row>
    <row r="947" spans="1:10" x14ac:dyDescent="0.3">
      <c r="A947">
        <v>1000017997</v>
      </c>
      <c r="B947" s="1">
        <f>VLOOKUP(A947,[1]Sheet1!A:B,2,FALSE)</f>
        <v>40583</v>
      </c>
      <c r="C947" s="2">
        <v>0</v>
      </c>
      <c r="D947" s="2">
        <f>SUMIFS([1]Sheet1!D:D,[1]Sheet1!A:A,A947,[1]Sheet1!E:E,"Figurado")</f>
        <v>0</v>
      </c>
      <c r="E947" s="2">
        <f>SUMIFS([1]Sheet1!D:D,[1]Sheet1!A:A,A947,[1]Sheet1!E:E,"Mallas")</f>
        <v>1160.1399999999999</v>
      </c>
      <c r="F947" s="2">
        <f>SUMIFS([1]Sheet1!D:D,[1]Sheet1!A:A,A947,[1]Sheet1!E:E,"Materia Prima")</f>
        <v>298.49400000000003</v>
      </c>
      <c r="G947" s="2">
        <f t="shared" si="56"/>
        <v>1.4501749999999998</v>
      </c>
      <c r="H947">
        <f t="shared" si="57"/>
        <v>2</v>
      </c>
      <c r="I947" s="2">
        <f t="shared" si="58"/>
        <v>0</v>
      </c>
      <c r="J947" s="2">
        <f t="shared" si="59"/>
        <v>1.4501749999999998</v>
      </c>
    </row>
    <row r="948" spans="1:10" x14ac:dyDescent="0.3">
      <c r="A948">
        <v>1000017998</v>
      </c>
      <c r="B948" s="1">
        <f>VLOOKUP(A948,[1]Sheet1!A:B,2,FALSE)</f>
        <v>40583</v>
      </c>
      <c r="C948" s="2">
        <v>0</v>
      </c>
      <c r="D948" s="2">
        <f>SUMIFS([1]Sheet1!D:D,[1]Sheet1!A:A,A948,[1]Sheet1!E:E,"Figurado")</f>
        <v>52.7</v>
      </c>
      <c r="E948" s="2">
        <f>SUMIFS([1]Sheet1!D:D,[1]Sheet1!A:A,A948,[1]Sheet1!E:E,"Mallas")</f>
        <v>0</v>
      </c>
      <c r="F948" s="2">
        <f>SUMIFS([1]Sheet1!D:D,[1]Sheet1!A:A,A948,[1]Sheet1!E:E,"Materia Prima")</f>
        <v>0</v>
      </c>
      <c r="G948" s="2">
        <f t="shared" si="56"/>
        <v>2.0269230769230772E-2</v>
      </c>
      <c r="H948">
        <f t="shared" si="57"/>
        <v>1</v>
      </c>
      <c r="I948" s="2">
        <f t="shared" si="58"/>
        <v>2.0269230769230772E-2</v>
      </c>
      <c r="J948" s="2">
        <f t="shared" si="59"/>
        <v>0</v>
      </c>
    </row>
    <row r="949" spans="1:10" x14ac:dyDescent="0.3">
      <c r="A949">
        <v>1000018002</v>
      </c>
      <c r="B949" s="1">
        <f>VLOOKUP(A949,[1]Sheet1!A:B,2,FALSE)</f>
        <v>40583</v>
      </c>
      <c r="C949" s="2">
        <v>0</v>
      </c>
      <c r="D949" s="2">
        <f>SUMIFS([1]Sheet1!D:D,[1]Sheet1!A:A,A949,[1]Sheet1!E:E,"Figurado")</f>
        <v>0</v>
      </c>
      <c r="E949" s="2">
        <f>SUMIFS([1]Sheet1!D:D,[1]Sheet1!A:A,A949,[1]Sheet1!E:E,"Mallas")</f>
        <v>839.8</v>
      </c>
      <c r="F949" s="2">
        <f>SUMIFS([1]Sheet1!D:D,[1]Sheet1!A:A,A949,[1]Sheet1!E:E,"Materia Prima")</f>
        <v>0</v>
      </c>
      <c r="G949" s="2">
        <f t="shared" si="56"/>
        <v>1.04975</v>
      </c>
      <c r="H949">
        <f t="shared" si="57"/>
        <v>1</v>
      </c>
      <c r="I949" s="2">
        <f t="shared" si="58"/>
        <v>0</v>
      </c>
      <c r="J949" s="2">
        <f t="shared" si="59"/>
        <v>1.04975</v>
      </c>
    </row>
    <row r="950" spans="1:10" x14ac:dyDescent="0.3">
      <c r="A950">
        <v>1000018011</v>
      </c>
      <c r="B950" s="1">
        <f>VLOOKUP(A950,[1]Sheet1!A:B,2,FALSE)</f>
        <v>40584</v>
      </c>
      <c r="C950" s="2">
        <v>0</v>
      </c>
      <c r="D950" s="2">
        <f>SUMIFS([1]Sheet1!D:D,[1]Sheet1!A:A,A950,[1]Sheet1!E:E,"Figurado")</f>
        <v>0</v>
      </c>
      <c r="E950" s="2">
        <f>SUMIFS([1]Sheet1!D:D,[1]Sheet1!A:A,A950,[1]Sheet1!E:E,"Mallas")</f>
        <v>4698</v>
      </c>
      <c r="F950" s="2">
        <f>SUMIFS([1]Sheet1!D:D,[1]Sheet1!A:A,A950,[1]Sheet1!E:E,"Materia Prima")</f>
        <v>5003</v>
      </c>
      <c r="G950" s="2">
        <f t="shared" si="56"/>
        <v>5.8724999999999996</v>
      </c>
      <c r="H950">
        <f t="shared" si="57"/>
        <v>2</v>
      </c>
      <c r="I950" s="2">
        <f t="shared" si="58"/>
        <v>0</v>
      </c>
      <c r="J950" s="2">
        <f t="shared" si="59"/>
        <v>5.8724999999999996</v>
      </c>
    </row>
    <row r="951" spans="1:10" x14ac:dyDescent="0.3">
      <c r="A951">
        <v>1000018013</v>
      </c>
      <c r="B951" s="1">
        <f>VLOOKUP(A951,[1]Sheet1!A:B,2,FALSE)</f>
        <v>40584</v>
      </c>
      <c r="C951" s="2">
        <v>0</v>
      </c>
      <c r="D951" s="2">
        <f>SUMIFS([1]Sheet1!D:D,[1]Sheet1!A:A,A951,[1]Sheet1!E:E,"Figurado")</f>
        <v>0</v>
      </c>
      <c r="E951" s="2">
        <f>SUMIFS([1]Sheet1!D:D,[1]Sheet1!A:A,A951,[1]Sheet1!E:E,"Mallas")</f>
        <v>953.28</v>
      </c>
      <c r="F951" s="2">
        <f>SUMIFS([1]Sheet1!D:D,[1]Sheet1!A:A,A951,[1]Sheet1!E:E,"Materia Prima")</f>
        <v>0</v>
      </c>
      <c r="G951" s="2">
        <f t="shared" si="56"/>
        <v>1.1916</v>
      </c>
      <c r="H951">
        <f t="shared" si="57"/>
        <v>1</v>
      </c>
      <c r="I951" s="2">
        <f t="shared" si="58"/>
        <v>0</v>
      </c>
      <c r="J951" s="2">
        <f t="shared" si="59"/>
        <v>1.1916</v>
      </c>
    </row>
    <row r="952" spans="1:10" x14ac:dyDescent="0.3">
      <c r="A952">
        <v>1000018014</v>
      </c>
      <c r="B952" s="1">
        <f>VLOOKUP(A952,[1]Sheet1!A:B,2,FALSE)</f>
        <v>40584</v>
      </c>
      <c r="C952" s="2">
        <v>0</v>
      </c>
      <c r="D952" s="2">
        <f>SUMIFS([1]Sheet1!D:D,[1]Sheet1!A:A,A952,[1]Sheet1!E:E,"Figurado")</f>
        <v>0</v>
      </c>
      <c r="E952" s="2">
        <f>SUMIFS([1]Sheet1!D:D,[1]Sheet1!A:A,A952,[1]Sheet1!E:E,"Mallas")</f>
        <v>9068.7800000000007</v>
      </c>
      <c r="F952" s="2">
        <f>SUMIFS([1]Sheet1!D:D,[1]Sheet1!A:A,A952,[1]Sheet1!E:E,"Materia Prima")</f>
        <v>0</v>
      </c>
      <c r="G952" s="2">
        <f t="shared" si="56"/>
        <v>11.335975000000001</v>
      </c>
      <c r="H952">
        <f t="shared" si="57"/>
        <v>1</v>
      </c>
      <c r="I952" s="2">
        <f t="shared" si="58"/>
        <v>0</v>
      </c>
      <c r="J952" s="2">
        <f t="shared" si="59"/>
        <v>11.335975000000001</v>
      </c>
    </row>
    <row r="953" spans="1:10" x14ac:dyDescent="0.3">
      <c r="A953">
        <v>1000018028</v>
      </c>
      <c r="B953" s="1">
        <f>VLOOKUP(A953,[1]Sheet1!A:B,2,FALSE)</f>
        <v>40584</v>
      </c>
      <c r="C953" s="2">
        <v>0</v>
      </c>
      <c r="D953" s="2">
        <f>SUMIFS([1]Sheet1!D:D,[1]Sheet1!A:A,A953,[1]Sheet1!E:E,"Figurado")</f>
        <v>0</v>
      </c>
      <c r="E953" s="2">
        <f>SUMIFS([1]Sheet1!D:D,[1]Sheet1!A:A,A953,[1]Sheet1!E:E,"Mallas")</f>
        <v>0</v>
      </c>
      <c r="F953" s="2">
        <f>SUMIFS([1]Sheet1!D:D,[1]Sheet1!A:A,A953,[1]Sheet1!E:E,"Materia Prima")</f>
        <v>35000</v>
      </c>
      <c r="G953" s="2">
        <f t="shared" si="56"/>
        <v>0</v>
      </c>
      <c r="H953">
        <f t="shared" si="57"/>
        <v>1</v>
      </c>
      <c r="I953" s="2">
        <f t="shared" si="58"/>
        <v>0</v>
      </c>
      <c r="J953" s="2">
        <f t="shared" si="59"/>
        <v>0</v>
      </c>
    </row>
    <row r="954" spans="1:10" x14ac:dyDescent="0.3">
      <c r="A954">
        <v>1000017831</v>
      </c>
      <c r="B954" s="1">
        <f>VLOOKUP(A954,[1]Sheet1!A:B,2,FALSE)</f>
        <v>40577</v>
      </c>
      <c r="C954" s="2">
        <v>0</v>
      </c>
      <c r="D954" s="2">
        <f>SUMIFS([1]Sheet1!D:D,[1]Sheet1!A:A,A954,[1]Sheet1!E:E,"Figurado")</f>
        <v>0</v>
      </c>
      <c r="E954" s="2">
        <f>SUMIFS([1]Sheet1!D:D,[1]Sheet1!A:A,A954,[1]Sheet1!E:E,"Mallas")</f>
        <v>0</v>
      </c>
      <c r="F954" s="2">
        <f>SUMIFS([1]Sheet1!D:D,[1]Sheet1!A:A,A954,[1]Sheet1!E:E,"Materia Prima")</f>
        <v>6303</v>
      </c>
      <c r="G954" s="2">
        <f t="shared" si="56"/>
        <v>0</v>
      </c>
      <c r="H954">
        <f t="shared" si="57"/>
        <v>1</v>
      </c>
      <c r="I954" s="2">
        <f t="shared" si="58"/>
        <v>0</v>
      </c>
      <c r="J954" s="2">
        <f t="shared" si="59"/>
        <v>0</v>
      </c>
    </row>
    <row r="955" spans="1:10" x14ac:dyDescent="0.3">
      <c r="A955">
        <v>1000017832</v>
      </c>
      <c r="B955" s="1">
        <f>VLOOKUP(A955,[1]Sheet1!A:B,2,FALSE)</f>
        <v>40577</v>
      </c>
      <c r="C955" s="2">
        <v>0</v>
      </c>
      <c r="D955" s="2">
        <f>SUMIFS([1]Sheet1!D:D,[1]Sheet1!A:A,A955,[1]Sheet1!E:E,"Figurado")</f>
        <v>0</v>
      </c>
      <c r="E955" s="2">
        <f>SUMIFS([1]Sheet1!D:D,[1]Sheet1!A:A,A955,[1]Sheet1!E:E,"Mallas")</f>
        <v>0</v>
      </c>
      <c r="F955" s="2">
        <f>SUMIFS([1]Sheet1!D:D,[1]Sheet1!A:A,A955,[1]Sheet1!E:E,"Materia Prima")</f>
        <v>1572.5</v>
      </c>
      <c r="G955" s="2">
        <f t="shared" si="56"/>
        <v>0</v>
      </c>
      <c r="H955">
        <f t="shared" si="57"/>
        <v>1</v>
      </c>
      <c r="I955" s="2">
        <f t="shared" si="58"/>
        <v>0</v>
      </c>
      <c r="J955" s="2">
        <f t="shared" si="59"/>
        <v>0</v>
      </c>
    </row>
    <row r="956" spans="1:10" x14ac:dyDescent="0.3">
      <c r="A956">
        <v>1000017849</v>
      </c>
      <c r="B956" s="1">
        <f>VLOOKUP(A956,[1]Sheet1!A:B,2,FALSE)</f>
        <v>40578</v>
      </c>
      <c r="C956" s="2">
        <v>0</v>
      </c>
      <c r="D956" s="2">
        <f>SUMIFS([1]Sheet1!D:D,[1]Sheet1!A:A,A956,[1]Sheet1!E:E,"Figurado")</f>
        <v>5873.9000000000005</v>
      </c>
      <c r="E956" s="2">
        <f>SUMIFS([1]Sheet1!D:D,[1]Sheet1!A:A,A956,[1]Sheet1!E:E,"Mallas")</f>
        <v>0</v>
      </c>
      <c r="F956" s="2">
        <f>SUMIFS([1]Sheet1!D:D,[1]Sheet1!A:A,A956,[1]Sheet1!E:E,"Materia Prima")</f>
        <v>0</v>
      </c>
      <c r="G956" s="2">
        <f t="shared" si="56"/>
        <v>2.2591923076923077</v>
      </c>
      <c r="H956">
        <f t="shared" si="57"/>
        <v>1</v>
      </c>
      <c r="I956" s="2">
        <f t="shared" si="58"/>
        <v>2.2591923076923077</v>
      </c>
      <c r="J956" s="2">
        <f t="shared" si="59"/>
        <v>0</v>
      </c>
    </row>
    <row r="957" spans="1:10" x14ac:dyDescent="0.3">
      <c r="A957">
        <v>1000017850</v>
      </c>
      <c r="B957" s="1">
        <f>VLOOKUP(A957,[1]Sheet1!A:B,2,FALSE)</f>
        <v>40578</v>
      </c>
      <c r="C957" s="2">
        <v>0</v>
      </c>
      <c r="D957" s="2">
        <f>SUMIFS([1]Sheet1!D:D,[1]Sheet1!A:A,A957,[1]Sheet1!E:E,"Figurado")</f>
        <v>582</v>
      </c>
      <c r="E957" s="2">
        <f>SUMIFS([1]Sheet1!D:D,[1]Sheet1!A:A,A957,[1]Sheet1!E:E,"Mallas")</f>
        <v>0</v>
      </c>
      <c r="F957" s="2">
        <f>SUMIFS([1]Sheet1!D:D,[1]Sheet1!A:A,A957,[1]Sheet1!E:E,"Materia Prima")</f>
        <v>0</v>
      </c>
      <c r="G957" s="2">
        <f t="shared" si="56"/>
        <v>0.22384615384615383</v>
      </c>
      <c r="H957">
        <f t="shared" si="57"/>
        <v>1</v>
      </c>
      <c r="I957" s="2">
        <f t="shared" si="58"/>
        <v>0.22384615384615383</v>
      </c>
      <c r="J957" s="2">
        <f t="shared" si="59"/>
        <v>0</v>
      </c>
    </row>
    <row r="958" spans="1:10" x14ac:dyDescent="0.3">
      <c r="A958">
        <v>1000017851</v>
      </c>
      <c r="B958" s="1">
        <f>VLOOKUP(A958,[1]Sheet1!A:B,2,FALSE)</f>
        <v>40578</v>
      </c>
      <c r="C958" s="2">
        <v>0</v>
      </c>
      <c r="D958" s="2">
        <f>SUMIFS([1]Sheet1!D:D,[1]Sheet1!A:A,A958,[1]Sheet1!E:E,"Figurado")</f>
        <v>1297.4000000000001</v>
      </c>
      <c r="E958" s="2">
        <f>SUMIFS([1]Sheet1!D:D,[1]Sheet1!A:A,A958,[1]Sheet1!E:E,"Mallas")</f>
        <v>0</v>
      </c>
      <c r="F958" s="2">
        <f>SUMIFS([1]Sheet1!D:D,[1]Sheet1!A:A,A958,[1]Sheet1!E:E,"Materia Prima")</f>
        <v>0</v>
      </c>
      <c r="G958" s="2">
        <f t="shared" si="56"/>
        <v>0.49900000000000005</v>
      </c>
      <c r="H958">
        <f t="shared" si="57"/>
        <v>1</v>
      </c>
      <c r="I958" s="2">
        <f t="shared" si="58"/>
        <v>0.49900000000000005</v>
      </c>
      <c r="J958" s="2">
        <f t="shared" si="59"/>
        <v>0</v>
      </c>
    </row>
    <row r="959" spans="1:10" x14ac:dyDescent="0.3">
      <c r="A959">
        <v>1000017871</v>
      </c>
      <c r="B959" s="1">
        <f>VLOOKUP(A959,[1]Sheet1!A:B,2,FALSE)</f>
        <v>40578</v>
      </c>
      <c r="C959" s="2">
        <v>0</v>
      </c>
      <c r="D959" s="2">
        <f>SUMIFS([1]Sheet1!D:D,[1]Sheet1!A:A,A959,[1]Sheet1!E:E,"Figurado")</f>
        <v>0</v>
      </c>
      <c r="E959" s="2">
        <f>SUMIFS([1]Sheet1!D:D,[1]Sheet1!A:A,A959,[1]Sheet1!E:E,"Mallas")</f>
        <v>0</v>
      </c>
      <c r="F959" s="2">
        <f>SUMIFS([1]Sheet1!D:D,[1]Sheet1!A:A,A959,[1]Sheet1!E:E,"Materia Prima")</f>
        <v>10160.64</v>
      </c>
      <c r="G959" s="2">
        <f t="shared" si="56"/>
        <v>0</v>
      </c>
      <c r="H959">
        <f t="shared" si="57"/>
        <v>1</v>
      </c>
      <c r="I959" s="2">
        <f t="shared" si="58"/>
        <v>0</v>
      </c>
      <c r="J959" s="2">
        <f t="shared" si="59"/>
        <v>0</v>
      </c>
    </row>
    <row r="960" spans="1:10" x14ac:dyDescent="0.3">
      <c r="A960">
        <v>1000017876</v>
      </c>
      <c r="B960" s="1">
        <f>VLOOKUP(A960,[1]Sheet1!A:B,2,FALSE)</f>
        <v>40578</v>
      </c>
      <c r="C960" s="2">
        <v>0</v>
      </c>
      <c r="D960" s="2">
        <f>SUMIFS([1]Sheet1!D:D,[1]Sheet1!A:A,A960,[1]Sheet1!E:E,"Figurado")</f>
        <v>0</v>
      </c>
      <c r="E960" s="2">
        <f>SUMIFS([1]Sheet1!D:D,[1]Sheet1!A:A,A960,[1]Sheet1!E:E,"Mallas")</f>
        <v>0</v>
      </c>
      <c r="F960" s="2">
        <f>SUMIFS([1]Sheet1!D:D,[1]Sheet1!A:A,A960,[1]Sheet1!E:E,"Materia Prima")</f>
        <v>6212.6</v>
      </c>
      <c r="G960" s="2">
        <f t="shared" si="56"/>
        <v>0</v>
      </c>
      <c r="H960">
        <f t="shared" si="57"/>
        <v>1</v>
      </c>
      <c r="I960" s="2">
        <f t="shared" si="58"/>
        <v>0</v>
      </c>
      <c r="J960" s="2">
        <f t="shared" si="59"/>
        <v>0</v>
      </c>
    </row>
    <row r="961" spans="1:10" x14ac:dyDescent="0.3">
      <c r="A961">
        <v>1000017878</v>
      </c>
      <c r="B961" s="1">
        <f>VLOOKUP(A961,[1]Sheet1!A:B,2,FALSE)</f>
        <v>40578</v>
      </c>
      <c r="C961" s="2">
        <v>0</v>
      </c>
      <c r="D961" s="2">
        <f>SUMIFS([1]Sheet1!D:D,[1]Sheet1!A:A,A961,[1]Sheet1!E:E,"Figurado")</f>
        <v>0</v>
      </c>
      <c r="E961" s="2">
        <f>SUMIFS([1]Sheet1!D:D,[1]Sheet1!A:A,A961,[1]Sheet1!E:E,"Mallas")</f>
        <v>0</v>
      </c>
      <c r="F961" s="2">
        <f>SUMIFS([1]Sheet1!D:D,[1]Sheet1!A:A,A961,[1]Sheet1!E:E,"Materia Prima")</f>
        <v>396</v>
      </c>
      <c r="G961" s="2">
        <f t="shared" si="56"/>
        <v>0</v>
      </c>
      <c r="H961">
        <f t="shared" si="57"/>
        <v>1</v>
      </c>
      <c r="I961" s="2">
        <f t="shared" si="58"/>
        <v>0</v>
      </c>
      <c r="J961" s="2">
        <f t="shared" si="59"/>
        <v>0</v>
      </c>
    </row>
    <row r="962" spans="1:10" x14ac:dyDescent="0.3">
      <c r="A962">
        <v>1000017935</v>
      </c>
      <c r="B962" s="1">
        <f>VLOOKUP(A962,[1]Sheet1!A:B,2,FALSE)</f>
        <v>40581</v>
      </c>
      <c r="C962" s="2">
        <v>0</v>
      </c>
      <c r="D962" s="2">
        <f>SUMIFS([1]Sheet1!D:D,[1]Sheet1!A:A,A962,[1]Sheet1!E:E,"Figurado")</f>
        <v>7783.2</v>
      </c>
      <c r="E962" s="2">
        <f>SUMIFS([1]Sheet1!D:D,[1]Sheet1!A:A,A962,[1]Sheet1!E:E,"Mallas")</f>
        <v>0</v>
      </c>
      <c r="F962" s="2">
        <f>SUMIFS([1]Sheet1!D:D,[1]Sheet1!A:A,A962,[1]Sheet1!E:E,"Materia Prima")</f>
        <v>0</v>
      </c>
      <c r="G962" s="2">
        <f t="shared" si="56"/>
        <v>2.9935384615384613</v>
      </c>
      <c r="H962">
        <f t="shared" si="57"/>
        <v>1</v>
      </c>
      <c r="I962" s="2">
        <f t="shared" si="58"/>
        <v>2.9935384615384613</v>
      </c>
      <c r="J962" s="2">
        <f t="shared" si="59"/>
        <v>0</v>
      </c>
    </row>
    <row r="963" spans="1:10" x14ac:dyDescent="0.3">
      <c r="A963">
        <v>1000017936</v>
      </c>
      <c r="B963" s="1">
        <f>VLOOKUP(A963,[1]Sheet1!A:B,2,FALSE)</f>
        <v>40581</v>
      </c>
      <c r="C963" s="2">
        <v>0</v>
      </c>
      <c r="D963" s="2">
        <f>SUMIFS([1]Sheet1!D:D,[1]Sheet1!A:A,A963,[1]Sheet1!E:E,"Figurado")</f>
        <v>11293.4</v>
      </c>
      <c r="E963" s="2">
        <f>SUMIFS([1]Sheet1!D:D,[1]Sheet1!A:A,A963,[1]Sheet1!E:E,"Mallas")</f>
        <v>0</v>
      </c>
      <c r="F963" s="2">
        <f>SUMIFS([1]Sheet1!D:D,[1]Sheet1!A:A,A963,[1]Sheet1!E:E,"Materia Prima")</f>
        <v>0</v>
      </c>
      <c r="G963" s="2">
        <f t="shared" ref="G963:G1026" si="60">(D963/2600)+(E963/800)</f>
        <v>4.3436153846153847</v>
      </c>
      <c r="H963">
        <f t="shared" ref="H963:H1026" si="61">(IF(D963&gt;0,1,0) + IF(E963&gt;0,1,0) + IF(F963&gt;0,1,0))</f>
        <v>1</v>
      </c>
      <c r="I963" s="2">
        <f t="shared" ref="I963:I1026" si="62">D963/2600</f>
        <v>4.3436153846153847</v>
      </c>
      <c r="J963" s="2">
        <f t="shared" ref="J963:J1026" si="63">E963/800</f>
        <v>0</v>
      </c>
    </row>
    <row r="964" spans="1:10" x14ac:dyDescent="0.3">
      <c r="A964">
        <v>1000017938</v>
      </c>
      <c r="B964" s="1">
        <f>VLOOKUP(A964,[1]Sheet1!A:B,2,FALSE)</f>
        <v>40581</v>
      </c>
      <c r="C964" s="2">
        <v>0</v>
      </c>
      <c r="D964" s="2">
        <f>SUMIFS([1]Sheet1!D:D,[1]Sheet1!A:A,A964,[1]Sheet1!E:E,"Figurado")</f>
        <v>8680.4</v>
      </c>
      <c r="E964" s="2">
        <f>SUMIFS([1]Sheet1!D:D,[1]Sheet1!A:A,A964,[1]Sheet1!E:E,"Mallas")</f>
        <v>0</v>
      </c>
      <c r="F964" s="2">
        <f>SUMIFS([1]Sheet1!D:D,[1]Sheet1!A:A,A964,[1]Sheet1!E:E,"Materia Prima")</f>
        <v>0</v>
      </c>
      <c r="G964" s="2">
        <f t="shared" si="60"/>
        <v>3.3386153846153843</v>
      </c>
      <c r="H964">
        <f t="shared" si="61"/>
        <v>1</v>
      </c>
      <c r="I964" s="2">
        <f t="shared" si="62"/>
        <v>3.3386153846153843</v>
      </c>
      <c r="J964" s="2">
        <f t="shared" si="63"/>
        <v>0</v>
      </c>
    </row>
    <row r="965" spans="1:10" x14ac:dyDescent="0.3">
      <c r="A965">
        <v>1000017954</v>
      </c>
      <c r="B965" s="1">
        <f>VLOOKUP(A965,[1]Sheet1!A:B,2,FALSE)</f>
        <v>40581</v>
      </c>
      <c r="C965" s="2">
        <v>0</v>
      </c>
      <c r="D965" s="2">
        <f>SUMIFS([1]Sheet1!D:D,[1]Sheet1!A:A,A965,[1]Sheet1!E:E,"Figurado")</f>
        <v>2802.6</v>
      </c>
      <c r="E965" s="2">
        <f>SUMIFS([1]Sheet1!D:D,[1]Sheet1!A:A,A965,[1]Sheet1!E:E,"Mallas")</f>
        <v>0</v>
      </c>
      <c r="F965" s="2">
        <f>SUMIFS([1]Sheet1!D:D,[1]Sheet1!A:A,A965,[1]Sheet1!E:E,"Materia Prima")</f>
        <v>1305.8</v>
      </c>
      <c r="G965" s="2">
        <f t="shared" si="60"/>
        <v>1.077923076923077</v>
      </c>
      <c r="H965">
        <f t="shared" si="61"/>
        <v>2</v>
      </c>
      <c r="I965" s="2">
        <f t="shared" si="62"/>
        <v>1.077923076923077</v>
      </c>
      <c r="J965" s="2">
        <f t="shared" si="63"/>
        <v>0</v>
      </c>
    </row>
    <row r="966" spans="1:10" x14ac:dyDescent="0.3">
      <c r="A966">
        <v>1000017955</v>
      </c>
      <c r="B966" s="1">
        <f>VLOOKUP(A966,[1]Sheet1!A:B,2,FALSE)</f>
        <v>40581</v>
      </c>
      <c r="C966" s="2">
        <v>0</v>
      </c>
      <c r="D966" s="2">
        <f>SUMIFS([1]Sheet1!D:D,[1]Sheet1!A:A,A966,[1]Sheet1!E:E,"Figurado")</f>
        <v>3292.8999999999996</v>
      </c>
      <c r="E966" s="2">
        <f>SUMIFS([1]Sheet1!D:D,[1]Sheet1!A:A,A966,[1]Sheet1!E:E,"Mallas")</f>
        <v>0</v>
      </c>
      <c r="F966" s="2">
        <f>SUMIFS([1]Sheet1!D:D,[1]Sheet1!A:A,A966,[1]Sheet1!E:E,"Materia Prima")</f>
        <v>2269.4</v>
      </c>
      <c r="G966" s="2">
        <f t="shared" si="60"/>
        <v>1.2665</v>
      </c>
      <c r="H966">
        <f t="shared" si="61"/>
        <v>2</v>
      </c>
      <c r="I966" s="2">
        <f t="shared" si="62"/>
        <v>1.2665</v>
      </c>
      <c r="J966" s="2">
        <f t="shared" si="63"/>
        <v>0</v>
      </c>
    </row>
    <row r="967" spans="1:10" x14ac:dyDescent="0.3">
      <c r="A967">
        <v>1000017956</v>
      </c>
      <c r="B967" s="1">
        <f>VLOOKUP(A967,[1]Sheet1!A:B,2,FALSE)</f>
        <v>40581</v>
      </c>
      <c r="C967" s="2">
        <v>0</v>
      </c>
      <c r="D967" s="2">
        <f>SUMIFS([1]Sheet1!D:D,[1]Sheet1!A:A,A967,[1]Sheet1!E:E,"Figurado")</f>
        <v>3828.6</v>
      </c>
      <c r="E967" s="2">
        <f>SUMIFS([1]Sheet1!D:D,[1]Sheet1!A:A,A967,[1]Sheet1!E:E,"Mallas")</f>
        <v>0</v>
      </c>
      <c r="F967" s="2">
        <f>SUMIFS([1]Sheet1!D:D,[1]Sheet1!A:A,A967,[1]Sheet1!E:E,"Materia Prima")</f>
        <v>384</v>
      </c>
      <c r="G967" s="2">
        <f t="shared" si="60"/>
        <v>1.4725384615384616</v>
      </c>
      <c r="H967">
        <f t="shared" si="61"/>
        <v>2</v>
      </c>
      <c r="I967" s="2">
        <f t="shared" si="62"/>
        <v>1.4725384615384616</v>
      </c>
      <c r="J967" s="2">
        <f t="shared" si="63"/>
        <v>0</v>
      </c>
    </row>
    <row r="968" spans="1:10" x14ac:dyDescent="0.3">
      <c r="A968">
        <v>1000017957</v>
      </c>
      <c r="B968" s="1">
        <f>VLOOKUP(A968,[1]Sheet1!A:B,2,FALSE)</f>
        <v>40581</v>
      </c>
      <c r="C968" s="2">
        <v>0</v>
      </c>
      <c r="D968" s="2">
        <f>SUMIFS([1]Sheet1!D:D,[1]Sheet1!A:A,A968,[1]Sheet1!E:E,"Figurado")</f>
        <v>3828.6</v>
      </c>
      <c r="E968" s="2">
        <f>SUMIFS([1]Sheet1!D:D,[1]Sheet1!A:A,A968,[1]Sheet1!E:E,"Mallas")</f>
        <v>0</v>
      </c>
      <c r="F968" s="2">
        <f>SUMIFS([1]Sheet1!D:D,[1]Sheet1!A:A,A968,[1]Sheet1!E:E,"Materia Prima")</f>
        <v>384</v>
      </c>
      <c r="G968" s="2">
        <f t="shared" si="60"/>
        <v>1.4725384615384616</v>
      </c>
      <c r="H968">
        <f t="shared" si="61"/>
        <v>2</v>
      </c>
      <c r="I968" s="2">
        <f t="shared" si="62"/>
        <v>1.4725384615384616</v>
      </c>
      <c r="J968" s="2">
        <f t="shared" si="63"/>
        <v>0</v>
      </c>
    </row>
    <row r="969" spans="1:10" x14ac:dyDescent="0.3">
      <c r="A969">
        <v>1000017968</v>
      </c>
      <c r="B969" s="1">
        <f>VLOOKUP(A969,[1]Sheet1!A:B,2,FALSE)</f>
        <v>40582</v>
      </c>
      <c r="C969" s="2">
        <v>0</v>
      </c>
      <c r="D969" s="2">
        <f>SUMIFS([1]Sheet1!D:D,[1]Sheet1!A:A,A969,[1]Sheet1!E:E,"Figurado")</f>
        <v>5130.6000000000004</v>
      </c>
      <c r="E969" s="2">
        <f>SUMIFS([1]Sheet1!D:D,[1]Sheet1!A:A,A969,[1]Sheet1!E:E,"Mallas")</f>
        <v>0</v>
      </c>
      <c r="F969" s="2">
        <f>SUMIFS([1]Sheet1!D:D,[1]Sheet1!A:A,A969,[1]Sheet1!E:E,"Materia Prima")</f>
        <v>67.2</v>
      </c>
      <c r="G969" s="2">
        <f t="shared" si="60"/>
        <v>1.9733076923076924</v>
      </c>
      <c r="H969">
        <f t="shared" si="61"/>
        <v>2</v>
      </c>
      <c r="I969" s="2">
        <f t="shared" si="62"/>
        <v>1.9733076923076924</v>
      </c>
      <c r="J969" s="2">
        <f t="shared" si="63"/>
        <v>0</v>
      </c>
    </row>
    <row r="970" spans="1:10" x14ac:dyDescent="0.3">
      <c r="A970">
        <v>1000017969</v>
      </c>
      <c r="B970" s="1">
        <f>VLOOKUP(A970,[1]Sheet1!A:B,2,FALSE)</f>
        <v>40582</v>
      </c>
      <c r="C970" s="2">
        <v>0</v>
      </c>
      <c r="D970" s="2">
        <f>SUMIFS([1]Sheet1!D:D,[1]Sheet1!A:A,A970,[1]Sheet1!E:E,"Figurado")</f>
        <v>384.6</v>
      </c>
      <c r="E970" s="2">
        <f>SUMIFS([1]Sheet1!D:D,[1]Sheet1!A:A,A970,[1]Sheet1!E:E,"Mallas")</f>
        <v>0</v>
      </c>
      <c r="F970" s="2">
        <f>SUMIFS([1]Sheet1!D:D,[1]Sheet1!A:A,A970,[1]Sheet1!E:E,"Materia Prima")</f>
        <v>0</v>
      </c>
      <c r="G970" s="2">
        <f t="shared" si="60"/>
        <v>0.14792307692307693</v>
      </c>
      <c r="H970">
        <f t="shared" si="61"/>
        <v>1</v>
      </c>
      <c r="I970" s="2">
        <f t="shared" si="62"/>
        <v>0.14792307692307693</v>
      </c>
      <c r="J970" s="2">
        <f t="shared" si="63"/>
        <v>0</v>
      </c>
    </row>
    <row r="971" spans="1:10" x14ac:dyDescent="0.3">
      <c r="A971">
        <v>1000017970</v>
      </c>
      <c r="B971" s="1">
        <f>VLOOKUP(A971,[1]Sheet1!A:B,2,FALSE)</f>
        <v>40582</v>
      </c>
      <c r="C971" s="2">
        <v>0</v>
      </c>
      <c r="D971" s="2">
        <f>SUMIFS([1]Sheet1!D:D,[1]Sheet1!A:A,A971,[1]Sheet1!E:E,"Figurado")</f>
        <v>0</v>
      </c>
      <c r="E971" s="2">
        <f>SUMIFS([1]Sheet1!D:D,[1]Sheet1!A:A,A971,[1]Sheet1!E:E,"Mallas")</f>
        <v>0</v>
      </c>
      <c r="F971" s="2">
        <f>SUMIFS([1]Sheet1!D:D,[1]Sheet1!A:A,A971,[1]Sheet1!E:E,"Materia Prima")</f>
        <v>672</v>
      </c>
      <c r="G971" s="2">
        <f t="shared" si="60"/>
        <v>0</v>
      </c>
      <c r="H971">
        <f t="shared" si="61"/>
        <v>1</v>
      </c>
      <c r="I971" s="2">
        <f t="shared" si="62"/>
        <v>0</v>
      </c>
      <c r="J971" s="2">
        <f t="shared" si="63"/>
        <v>0</v>
      </c>
    </row>
    <row r="972" spans="1:10" x14ac:dyDescent="0.3">
      <c r="A972">
        <v>1000017971</v>
      </c>
      <c r="B972" s="1">
        <f>VLOOKUP(A972,[1]Sheet1!A:B,2,FALSE)</f>
        <v>40582</v>
      </c>
      <c r="C972" s="2">
        <v>0</v>
      </c>
      <c r="D972" s="2">
        <f>SUMIFS([1]Sheet1!D:D,[1]Sheet1!A:A,A972,[1]Sheet1!E:E,"Figurado")</f>
        <v>2248.6999999999998</v>
      </c>
      <c r="E972" s="2">
        <f>SUMIFS([1]Sheet1!D:D,[1]Sheet1!A:A,A972,[1]Sheet1!E:E,"Mallas")</f>
        <v>0</v>
      </c>
      <c r="F972" s="2">
        <f>SUMIFS([1]Sheet1!D:D,[1]Sheet1!A:A,A972,[1]Sheet1!E:E,"Materia Prima")</f>
        <v>0</v>
      </c>
      <c r="G972" s="2">
        <f t="shared" si="60"/>
        <v>0.86488461538461536</v>
      </c>
      <c r="H972">
        <f t="shared" si="61"/>
        <v>1</v>
      </c>
      <c r="I972" s="2">
        <f t="shared" si="62"/>
        <v>0.86488461538461536</v>
      </c>
      <c r="J972" s="2">
        <f t="shared" si="63"/>
        <v>0</v>
      </c>
    </row>
    <row r="973" spans="1:10" x14ac:dyDescent="0.3">
      <c r="A973">
        <v>1000017972</v>
      </c>
      <c r="B973" s="1">
        <f>VLOOKUP(A973,[1]Sheet1!A:B,2,FALSE)</f>
        <v>40582</v>
      </c>
      <c r="C973" s="2">
        <v>0</v>
      </c>
      <c r="D973" s="2">
        <f>SUMIFS([1]Sheet1!D:D,[1]Sheet1!A:A,A973,[1]Sheet1!E:E,"Figurado")</f>
        <v>8079</v>
      </c>
      <c r="E973" s="2">
        <f>SUMIFS([1]Sheet1!D:D,[1]Sheet1!A:A,A973,[1]Sheet1!E:E,"Mallas")</f>
        <v>0</v>
      </c>
      <c r="F973" s="2">
        <f>SUMIFS([1]Sheet1!D:D,[1]Sheet1!A:A,A973,[1]Sheet1!E:E,"Materia Prima")</f>
        <v>161.30000000000001</v>
      </c>
      <c r="G973" s="2">
        <f t="shared" si="60"/>
        <v>3.1073076923076921</v>
      </c>
      <c r="H973">
        <f t="shared" si="61"/>
        <v>2</v>
      </c>
      <c r="I973" s="2">
        <f t="shared" si="62"/>
        <v>3.1073076923076921</v>
      </c>
      <c r="J973" s="2">
        <f t="shared" si="63"/>
        <v>0</v>
      </c>
    </row>
    <row r="974" spans="1:10" x14ac:dyDescent="0.3">
      <c r="A974">
        <v>1000017980</v>
      </c>
      <c r="B974" s="1">
        <f>VLOOKUP(A974,[1]Sheet1!A:B,2,FALSE)</f>
        <v>40583</v>
      </c>
      <c r="C974" s="2">
        <v>0</v>
      </c>
      <c r="D974" s="2">
        <f>SUMIFS([1]Sheet1!D:D,[1]Sheet1!A:A,A974,[1]Sheet1!E:E,"Figurado")</f>
        <v>0</v>
      </c>
      <c r="E974" s="2">
        <f>SUMIFS([1]Sheet1!D:D,[1]Sheet1!A:A,A974,[1]Sheet1!E:E,"Mallas")</f>
        <v>0</v>
      </c>
      <c r="F974" s="2">
        <f>SUMIFS([1]Sheet1!D:D,[1]Sheet1!A:A,A974,[1]Sheet1!E:E,"Materia Prima")</f>
        <v>600</v>
      </c>
      <c r="G974" s="2">
        <f t="shared" si="60"/>
        <v>0</v>
      </c>
      <c r="H974">
        <f t="shared" si="61"/>
        <v>1</v>
      </c>
      <c r="I974" s="2">
        <f t="shared" si="62"/>
        <v>0</v>
      </c>
      <c r="J974" s="2">
        <f t="shared" si="63"/>
        <v>0</v>
      </c>
    </row>
    <row r="975" spans="1:10" x14ac:dyDescent="0.3">
      <c r="A975">
        <v>1000017981</v>
      </c>
      <c r="B975" s="1">
        <f>VLOOKUP(A975,[1]Sheet1!A:B,2,FALSE)</f>
        <v>40583</v>
      </c>
      <c r="C975" s="2">
        <v>0</v>
      </c>
      <c r="D975" s="2">
        <f>SUMIFS([1]Sheet1!D:D,[1]Sheet1!A:A,A975,[1]Sheet1!E:E,"Figurado")</f>
        <v>280.5</v>
      </c>
      <c r="E975" s="2">
        <f>SUMIFS([1]Sheet1!D:D,[1]Sheet1!A:A,A975,[1]Sheet1!E:E,"Mallas")</f>
        <v>0</v>
      </c>
      <c r="F975" s="2">
        <f>SUMIFS([1]Sheet1!D:D,[1]Sheet1!A:A,A975,[1]Sheet1!E:E,"Materia Prima")</f>
        <v>0</v>
      </c>
      <c r="G975" s="2">
        <f t="shared" si="60"/>
        <v>0.10788461538461538</v>
      </c>
      <c r="H975">
        <f t="shared" si="61"/>
        <v>1</v>
      </c>
      <c r="I975" s="2">
        <f t="shared" si="62"/>
        <v>0.10788461538461538</v>
      </c>
      <c r="J975" s="2">
        <f t="shared" si="63"/>
        <v>0</v>
      </c>
    </row>
    <row r="976" spans="1:10" x14ac:dyDescent="0.3">
      <c r="A976">
        <v>1000017982</v>
      </c>
      <c r="B976" s="1">
        <f>VLOOKUP(A976,[1]Sheet1!A:B,2,FALSE)</f>
        <v>40583</v>
      </c>
      <c r="C976" s="2">
        <v>0</v>
      </c>
      <c r="D976" s="2">
        <f>SUMIFS([1]Sheet1!D:D,[1]Sheet1!A:A,A976,[1]Sheet1!E:E,"Figurado")</f>
        <v>132.69999999999999</v>
      </c>
      <c r="E976" s="2">
        <f>SUMIFS([1]Sheet1!D:D,[1]Sheet1!A:A,A976,[1]Sheet1!E:E,"Mallas")</f>
        <v>0</v>
      </c>
      <c r="F976" s="2">
        <f>SUMIFS([1]Sheet1!D:D,[1]Sheet1!A:A,A976,[1]Sheet1!E:E,"Materia Prima")</f>
        <v>0</v>
      </c>
      <c r="G976" s="2">
        <f t="shared" si="60"/>
        <v>5.1038461538461533E-2</v>
      </c>
      <c r="H976">
        <f t="shared" si="61"/>
        <v>1</v>
      </c>
      <c r="I976" s="2">
        <f t="shared" si="62"/>
        <v>5.1038461538461533E-2</v>
      </c>
      <c r="J976" s="2">
        <f t="shared" si="63"/>
        <v>0</v>
      </c>
    </row>
    <row r="977" spans="1:10" x14ac:dyDescent="0.3">
      <c r="A977">
        <v>1000017983</v>
      </c>
      <c r="B977" s="1">
        <f>VLOOKUP(A977,[1]Sheet1!A:B,2,FALSE)</f>
        <v>40583</v>
      </c>
      <c r="C977" s="2">
        <v>0</v>
      </c>
      <c r="D977" s="2">
        <f>SUMIFS([1]Sheet1!D:D,[1]Sheet1!A:A,A977,[1]Sheet1!E:E,"Figurado")</f>
        <v>3990.8000000000006</v>
      </c>
      <c r="E977" s="2">
        <f>SUMIFS([1]Sheet1!D:D,[1]Sheet1!A:A,A977,[1]Sheet1!E:E,"Mallas")</f>
        <v>0</v>
      </c>
      <c r="F977" s="2">
        <f>SUMIFS([1]Sheet1!D:D,[1]Sheet1!A:A,A977,[1]Sheet1!E:E,"Materia Prima")</f>
        <v>614.4</v>
      </c>
      <c r="G977" s="2">
        <f t="shared" si="60"/>
        <v>1.5349230769230773</v>
      </c>
      <c r="H977">
        <f t="shared" si="61"/>
        <v>2</v>
      </c>
      <c r="I977" s="2">
        <f t="shared" si="62"/>
        <v>1.5349230769230773</v>
      </c>
      <c r="J977" s="2">
        <f t="shared" si="63"/>
        <v>0</v>
      </c>
    </row>
    <row r="978" spans="1:10" x14ac:dyDescent="0.3">
      <c r="A978">
        <v>1000017984</v>
      </c>
      <c r="B978" s="1">
        <f>VLOOKUP(A978,[1]Sheet1!A:B,2,FALSE)</f>
        <v>40583</v>
      </c>
      <c r="C978" s="2">
        <v>0</v>
      </c>
      <c r="D978" s="2">
        <f>SUMIFS([1]Sheet1!D:D,[1]Sheet1!A:A,A978,[1]Sheet1!E:E,"Figurado")</f>
        <v>270.5</v>
      </c>
      <c r="E978" s="2">
        <f>SUMIFS([1]Sheet1!D:D,[1]Sheet1!A:A,A978,[1]Sheet1!E:E,"Mallas")</f>
        <v>0</v>
      </c>
      <c r="F978" s="2">
        <f>SUMIFS([1]Sheet1!D:D,[1]Sheet1!A:A,A978,[1]Sheet1!E:E,"Materia Prima")</f>
        <v>1411.2</v>
      </c>
      <c r="G978" s="2">
        <f t="shared" si="60"/>
        <v>0.10403846153846154</v>
      </c>
      <c r="H978">
        <f t="shared" si="61"/>
        <v>2</v>
      </c>
      <c r="I978" s="2">
        <f t="shared" si="62"/>
        <v>0.10403846153846154</v>
      </c>
      <c r="J978" s="2">
        <f t="shared" si="63"/>
        <v>0</v>
      </c>
    </row>
    <row r="979" spans="1:10" x14ac:dyDescent="0.3">
      <c r="A979">
        <v>1000017985</v>
      </c>
      <c r="B979" s="1">
        <f>VLOOKUP(A979,[1]Sheet1!A:B,2,FALSE)</f>
        <v>40583</v>
      </c>
      <c r="C979" s="2">
        <v>0</v>
      </c>
      <c r="D979" s="2">
        <f>SUMIFS([1]Sheet1!D:D,[1]Sheet1!A:A,A979,[1]Sheet1!E:E,"Figurado")</f>
        <v>0</v>
      </c>
      <c r="E979" s="2">
        <f>SUMIFS([1]Sheet1!D:D,[1]Sheet1!A:A,A979,[1]Sheet1!E:E,"Mallas")</f>
        <v>0</v>
      </c>
      <c r="F979" s="2">
        <f>SUMIFS([1]Sheet1!D:D,[1]Sheet1!A:A,A979,[1]Sheet1!E:E,"Materia Prima")</f>
        <v>100</v>
      </c>
      <c r="G979" s="2">
        <f t="shared" si="60"/>
        <v>0</v>
      </c>
      <c r="H979">
        <f t="shared" si="61"/>
        <v>1</v>
      </c>
      <c r="I979" s="2">
        <f t="shared" si="62"/>
        <v>0</v>
      </c>
      <c r="J979" s="2">
        <f t="shared" si="63"/>
        <v>0</v>
      </c>
    </row>
    <row r="980" spans="1:10" x14ac:dyDescent="0.3">
      <c r="A980">
        <v>1000017988</v>
      </c>
      <c r="B980" s="1">
        <f>VLOOKUP(A980,[1]Sheet1!A:B,2,FALSE)</f>
        <v>40583</v>
      </c>
      <c r="C980" s="2">
        <v>0</v>
      </c>
      <c r="D980" s="2">
        <f>SUMIFS([1]Sheet1!D:D,[1]Sheet1!A:A,A980,[1]Sheet1!E:E,"Figurado")</f>
        <v>9373.2999999999993</v>
      </c>
      <c r="E980" s="2">
        <f>SUMIFS([1]Sheet1!D:D,[1]Sheet1!A:A,A980,[1]Sheet1!E:E,"Mallas")</f>
        <v>0</v>
      </c>
      <c r="F980" s="2">
        <f>SUMIFS([1]Sheet1!D:D,[1]Sheet1!A:A,A980,[1]Sheet1!E:E,"Materia Prima")</f>
        <v>0</v>
      </c>
      <c r="G980" s="2">
        <f t="shared" si="60"/>
        <v>3.6051153846153845</v>
      </c>
      <c r="H980">
        <f t="shared" si="61"/>
        <v>1</v>
      </c>
      <c r="I980" s="2">
        <f t="shared" si="62"/>
        <v>3.6051153846153845</v>
      </c>
      <c r="J980" s="2">
        <f t="shared" si="63"/>
        <v>0</v>
      </c>
    </row>
    <row r="981" spans="1:10" x14ac:dyDescent="0.3">
      <c r="A981">
        <v>1000017989</v>
      </c>
      <c r="B981" s="1">
        <f>VLOOKUP(A981,[1]Sheet1!A:B,2,FALSE)</f>
        <v>40583</v>
      </c>
      <c r="C981" s="2">
        <v>0</v>
      </c>
      <c r="D981" s="2">
        <f>SUMIFS([1]Sheet1!D:D,[1]Sheet1!A:A,A981,[1]Sheet1!E:E,"Figurado")</f>
        <v>10571.8</v>
      </c>
      <c r="E981" s="2">
        <f>SUMIFS([1]Sheet1!D:D,[1]Sheet1!A:A,A981,[1]Sheet1!E:E,"Mallas")</f>
        <v>0</v>
      </c>
      <c r="F981" s="2">
        <f>SUMIFS([1]Sheet1!D:D,[1]Sheet1!A:A,A981,[1]Sheet1!E:E,"Materia Prima")</f>
        <v>0</v>
      </c>
      <c r="G981" s="2">
        <f t="shared" si="60"/>
        <v>4.0660769230769231</v>
      </c>
      <c r="H981">
        <f t="shared" si="61"/>
        <v>1</v>
      </c>
      <c r="I981" s="2">
        <f t="shared" si="62"/>
        <v>4.0660769230769231</v>
      </c>
      <c r="J981" s="2">
        <f t="shared" si="63"/>
        <v>0</v>
      </c>
    </row>
    <row r="982" spans="1:10" x14ac:dyDescent="0.3">
      <c r="A982">
        <v>1000017990</v>
      </c>
      <c r="B982" s="1">
        <f>VLOOKUP(A982,[1]Sheet1!A:B,2,FALSE)</f>
        <v>40583</v>
      </c>
      <c r="C982" s="2">
        <v>0</v>
      </c>
      <c r="D982" s="2">
        <f>SUMIFS([1]Sheet1!D:D,[1]Sheet1!A:A,A982,[1]Sheet1!E:E,"Figurado")</f>
        <v>11752.3</v>
      </c>
      <c r="E982" s="2">
        <f>SUMIFS([1]Sheet1!D:D,[1]Sheet1!A:A,A982,[1]Sheet1!E:E,"Mallas")</f>
        <v>0</v>
      </c>
      <c r="F982" s="2">
        <f>SUMIFS([1]Sheet1!D:D,[1]Sheet1!A:A,A982,[1]Sheet1!E:E,"Materia Prima")</f>
        <v>0</v>
      </c>
      <c r="G982" s="2">
        <f t="shared" si="60"/>
        <v>4.5201153846153845</v>
      </c>
      <c r="H982">
        <f t="shared" si="61"/>
        <v>1</v>
      </c>
      <c r="I982" s="2">
        <f t="shared" si="62"/>
        <v>4.5201153846153845</v>
      </c>
      <c r="J982" s="2">
        <f t="shared" si="63"/>
        <v>0</v>
      </c>
    </row>
    <row r="983" spans="1:10" x14ac:dyDescent="0.3">
      <c r="A983">
        <v>1000017991</v>
      </c>
      <c r="B983" s="1">
        <f>VLOOKUP(A983,[1]Sheet1!A:B,2,FALSE)</f>
        <v>40583</v>
      </c>
      <c r="C983" s="2">
        <v>0</v>
      </c>
      <c r="D983" s="2">
        <f>SUMIFS([1]Sheet1!D:D,[1]Sheet1!A:A,A983,[1]Sheet1!E:E,"Figurado")</f>
        <v>6358.3</v>
      </c>
      <c r="E983" s="2">
        <f>SUMIFS([1]Sheet1!D:D,[1]Sheet1!A:A,A983,[1]Sheet1!E:E,"Mallas")</f>
        <v>0</v>
      </c>
      <c r="F983" s="2">
        <f>SUMIFS([1]Sheet1!D:D,[1]Sheet1!A:A,A983,[1]Sheet1!E:E,"Materia Prima")</f>
        <v>0</v>
      </c>
      <c r="G983" s="2">
        <f t="shared" si="60"/>
        <v>2.4455</v>
      </c>
      <c r="H983">
        <f t="shared" si="61"/>
        <v>1</v>
      </c>
      <c r="I983" s="2">
        <f t="shared" si="62"/>
        <v>2.4455</v>
      </c>
      <c r="J983" s="2">
        <f t="shared" si="63"/>
        <v>0</v>
      </c>
    </row>
    <row r="984" spans="1:10" x14ac:dyDescent="0.3">
      <c r="A984">
        <v>1000017994</v>
      </c>
      <c r="B984" s="1">
        <f>VLOOKUP(A984,[1]Sheet1!A:B,2,FALSE)</f>
        <v>40583</v>
      </c>
      <c r="C984" s="2">
        <v>0</v>
      </c>
      <c r="D984" s="2">
        <f>SUMIFS([1]Sheet1!D:D,[1]Sheet1!A:A,A984,[1]Sheet1!E:E,"Figurado")</f>
        <v>210.4</v>
      </c>
      <c r="E984" s="2">
        <f>SUMIFS([1]Sheet1!D:D,[1]Sheet1!A:A,A984,[1]Sheet1!E:E,"Mallas")</f>
        <v>0</v>
      </c>
      <c r="F984" s="2">
        <f>SUMIFS([1]Sheet1!D:D,[1]Sheet1!A:A,A984,[1]Sheet1!E:E,"Materia Prima")</f>
        <v>0</v>
      </c>
      <c r="G984" s="2">
        <f t="shared" si="60"/>
        <v>8.0923076923076931E-2</v>
      </c>
      <c r="H984">
        <f t="shared" si="61"/>
        <v>1</v>
      </c>
      <c r="I984" s="2">
        <f t="shared" si="62"/>
        <v>8.0923076923076931E-2</v>
      </c>
      <c r="J984" s="2">
        <f t="shared" si="63"/>
        <v>0</v>
      </c>
    </row>
    <row r="985" spans="1:10" x14ac:dyDescent="0.3">
      <c r="A985">
        <v>1000017999</v>
      </c>
      <c r="B985" s="1">
        <f>VLOOKUP(A985,[1]Sheet1!A:B,2,FALSE)</f>
        <v>40583</v>
      </c>
      <c r="C985" s="2">
        <v>0</v>
      </c>
      <c r="D985" s="2">
        <f>SUMIFS([1]Sheet1!D:D,[1]Sheet1!A:A,A985,[1]Sheet1!E:E,"Figurado")</f>
        <v>3828.6</v>
      </c>
      <c r="E985" s="2">
        <f>SUMIFS([1]Sheet1!D:D,[1]Sheet1!A:A,A985,[1]Sheet1!E:E,"Mallas")</f>
        <v>0</v>
      </c>
      <c r="F985" s="2">
        <f>SUMIFS([1]Sheet1!D:D,[1]Sheet1!A:A,A985,[1]Sheet1!E:E,"Materia Prima")</f>
        <v>384</v>
      </c>
      <c r="G985" s="2">
        <f t="shared" si="60"/>
        <v>1.4725384615384616</v>
      </c>
      <c r="H985">
        <f t="shared" si="61"/>
        <v>2</v>
      </c>
      <c r="I985" s="2">
        <f t="shared" si="62"/>
        <v>1.4725384615384616</v>
      </c>
      <c r="J985" s="2">
        <f t="shared" si="63"/>
        <v>0</v>
      </c>
    </row>
    <row r="986" spans="1:10" x14ac:dyDescent="0.3">
      <c r="A986">
        <v>1000018000</v>
      </c>
      <c r="B986" s="1">
        <f>VLOOKUP(A986,[1]Sheet1!A:B,2,FALSE)</f>
        <v>40583</v>
      </c>
      <c r="C986" s="2">
        <v>0</v>
      </c>
      <c r="D986" s="2">
        <f>SUMIFS([1]Sheet1!D:D,[1]Sheet1!A:A,A986,[1]Sheet1!E:E,"Figurado")</f>
        <v>560.6</v>
      </c>
      <c r="E986" s="2">
        <f>SUMIFS([1]Sheet1!D:D,[1]Sheet1!A:A,A986,[1]Sheet1!E:E,"Mallas")</f>
        <v>0</v>
      </c>
      <c r="F986" s="2">
        <f>SUMIFS([1]Sheet1!D:D,[1]Sheet1!A:A,A986,[1]Sheet1!E:E,"Materia Prima")</f>
        <v>96</v>
      </c>
      <c r="G986" s="2">
        <f t="shared" si="60"/>
        <v>0.21561538461538463</v>
      </c>
      <c r="H986">
        <f t="shared" si="61"/>
        <v>2</v>
      </c>
      <c r="I986" s="2">
        <f t="shared" si="62"/>
        <v>0.21561538461538463</v>
      </c>
      <c r="J986" s="2">
        <f t="shared" si="63"/>
        <v>0</v>
      </c>
    </row>
    <row r="987" spans="1:10" x14ac:dyDescent="0.3">
      <c r="A987">
        <v>1000018001</v>
      </c>
      <c r="B987" s="1">
        <f>VLOOKUP(A987,[1]Sheet1!A:B,2,FALSE)</f>
        <v>40583</v>
      </c>
      <c r="C987" s="2">
        <v>0</v>
      </c>
      <c r="D987" s="2">
        <f>SUMIFS([1]Sheet1!D:D,[1]Sheet1!A:A,A987,[1]Sheet1!E:E,"Figurado")</f>
        <v>6069.7999999999993</v>
      </c>
      <c r="E987" s="2">
        <f>SUMIFS([1]Sheet1!D:D,[1]Sheet1!A:A,A987,[1]Sheet1!E:E,"Mallas")</f>
        <v>0</v>
      </c>
      <c r="F987" s="2">
        <f>SUMIFS([1]Sheet1!D:D,[1]Sheet1!A:A,A987,[1]Sheet1!E:E,"Materia Prima")</f>
        <v>0</v>
      </c>
      <c r="G987" s="2">
        <f t="shared" si="60"/>
        <v>2.3345384615384615</v>
      </c>
      <c r="H987">
        <f t="shared" si="61"/>
        <v>1</v>
      </c>
      <c r="I987" s="2">
        <f t="shared" si="62"/>
        <v>2.3345384615384615</v>
      </c>
      <c r="J987" s="2">
        <f t="shared" si="63"/>
        <v>0</v>
      </c>
    </row>
    <row r="988" spans="1:10" x14ac:dyDescent="0.3">
      <c r="A988">
        <v>1000018005</v>
      </c>
      <c r="B988" s="1">
        <f>VLOOKUP(A988,[1]Sheet1!A:B,2,FALSE)</f>
        <v>40583</v>
      </c>
      <c r="C988" s="2">
        <v>0</v>
      </c>
      <c r="D988" s="2">
        <f>SUMIFS([1]Sheet1!D:D,[1]Sheet1!A:A,A988,[1]Sheet1!E:E,"Figurado")</f>
        <v>10157.9</v>
      </c>
      <c r="E988" s="2">
        <f>SUMIFS([1]Sheet1!D:D,[1]Sheet1!A:A,A988,[1]Sheet1!E:E,"Mallas")</f>
        <v>0</v>
      </c>
      <c r="F988" s="2">
        <f>SUMIFS([1]Sheet1!D:D,[1]Sheet1!A:A,A988,[1]Sheet1!E:E,"Materia Prima")</f>
        <v>56.2</v>
      </c>
      <c r="G988" s="2">
        <f t="shared" si="60"/>
        <v>3.9068846153846151</v>
      </c>
      <c r="H988">
        <f t="shared" si="61"/>
        <v>2</v>
      </c>
      <c r="I988" s="2">
        <f t="shared" si="62"/>
        <v>3.9068846153846151</v>
      </c>
      <c r="J988" s="2">
        <f t="shared" si="63"/>
        <v>0</v>
      </c>
    </row>
    <row r="989" spans="1:10" x14ac:dyDescent="0.3">
      <c r="A989">
        <v>1000018006</v>
      </c>
      <c r="B989" s="1">
        <f>VLOOKUP(A989,[1]Sheet1!A:B,2,FALSE)</f>
        <v>40583</v>
      </c>
      <c r="C989" s="2">
        <v>0</v>
      </c>
      <c r="D989" s="2">
        <f>SUMIFS([1]Sheet1!D:D,[1]Sheet1!A:A,A989,[1]Sheet1!E:E,"Figurado")</f>
        <v>8030</v>
      </c>
      <c r="E989" s="2">
        <f>SUMIFS([1]Sheet1!D:D,[1]Sheet1!A:A,A989,[1]Sheet1!E:E,"Mallas")</f>
        <v>0</v>
      </c>
      <c r="F989" s="2">
        <f>SUMIFS([1]Sheet1!D:D,[1]Sheet1!A:A,A989,[1]Sheet1!E:E,"Materia Prima")</f>
        <v>280.8</v>
      </c>
      <c r="G989" s="2">
        <f t="shared" si="60"/>
        <v>3.0884615384615386</v>
      </c>
      <c r="H989">
        <f t="shared" si="61"/>
        <v>2</v>
      </c>
      <c r="I989" s="2">
        <f t="shared" si="62"/>
        <v>3.0884615384615386</v>
      </c>
      <c r="J989" s="2">
        <f t="shared" si="63"/>
        <v>0</v>
      </c>
    </row>
    <row r="990" spans="1:10" x14ac:dyDescent="0.3">
      <c r="A990">
        <v>1000018007</v>
      </c>
      <c r="B990" s="1">
        <f>VLOOKUP(A990,[1]Sheet1!A:B,2,FALSE)</f>
        <v>40583</v>
      </c>
      <c r="C990" s="2">
        <v>0</v>
      </c>
      <c r="D990" s="2">
        <f>SUMIFS([1]Sheet1!D:D,[1]Sheet1!A:A,A990,[1]Sheet1!E:E,"Figurado")</f>
        <v>2012</v>
      </c>
      <c r="E990" s="2">
        <f>SUMIFS([1]Sheet1!D:D,[1]Sheet1!A:A,A990,[1]Sheet1!E:E,"Mallas")</f>
        <v>0</v>
      </c>
      <c r="F990" s="2">
        <f>SUMIFS([1]Sheet1!D:D,[1]Sheet1!A:A,A990,[1]Sheet1!E:E,"Materia Prima")</f>
        <v>330</v>
      </c>
      <c r="G990" s="2">
        <f t="shared" si="60"/>
        <v>0.77384615384615385</v>
      </c>
      <c r="H990">
        <f t="shared" si="61"/>
        <v>2</v>
      </c>
      <c r="I990" s="2">
        <f t="shared" si="62"/>
        <v>0.77384615384615385</v>
      </c>
      <c r="J990" s="2">
        <f t="shared" si="63"/>
        <v>0</v>
      </c>
    </row>
    <row r="991" spans="1:10" x14ac:dyDescent="0.3">
      <c r="A991">
        <v>1000018008</v>
      </c>
      <c r="B991" s="1">
        <f>VLOOKUP(A991,[1]Sheet1!A:B,2,FALSE)</f>
        <v>40583</v>
      </c>
      <c r="C991" s="2">
        <v>0</v>
      </c>
      <c r="D991" s="2">
        <f>SUMIFS([1]Sheet1!D:D,[1]Sheet1!A:A,A991,[1]Sheet1!E:E,"Figurado")</f>
        <v>4735.0999999999995</v>
      </c>
      <c r="E991" s="2">
        <f>SUMIFS([1]Sheet1!D:D,[1]Sheet1!A:A,A991,[1]Sheet1!E:E,"Mallas")</f>
        <v>0</v>
      </c>
      <c r="F991" s="2">
        <f>SUMIFS([1]Sheet1!D:D,[1]Sheet1!A:A,A991,[1]Sheet1!E:E,"Materia Prima")</f>
        <v>0</v>
      </c>
      <c r="G991" s="2">
        <f t="shared" si="60"/>
        <v>1.8211923076923076</v>
      </c>
      <c r="H991">
        <f t="shared" si="61"/>
        <v>1</v>
      </c>
      <c r="I991" s="2">
        <f t="shared" si="62"/>
        <v>1.8211923076923076</v>
      </c>
      <c r="J991" s="2">
        <f t="shared" si="63"/>
        <v>0</v>
      </c>
    </row>
    <row r="992" spans="1:10" x14ac:dyDescent="0.3">
      <c r="A992">
        <v>1000018009</v>
      </c>
      <c r="B992" s="1">
        <f>VLOOKUP(A992,[1]Sheet1!A:B,2,FALSE)</f>
        <v>40583</v>
      </c>
      <c r="C992" s="2">
        <v>0</v>
      </c>
      <c r="D992" s="2">
        <f>SUMIFS([1]Sheet1!D:D,[1]Sheet1!A:A,A992,[1]Sheet1!E:E,"Figurado")</f>
        <v>1845.1000000000001</v>
      </c>
      <c r="E992" s="2">
        <f>SUMIFS([1]Sheet1!D:D,[1]Sheet1!A:A,A992,[1]Sheet1!E:E,"Mallas")</f>
        <v>0</v>
      </c>
      <c r="F992" s="2">
        <f>SUMIFS([1]Sheet1!D:D,[1]Sheet1!A:A,A992,[1]Sheet1!E:E,"Materia Prima")</f>
        <v>122.9</v>
      </c>
      <c r="G992" s="2">
        <f t="shared" si="60"/>
        <v>0.70965384615384619</v>
      </c>
      <c r="H992">
        <f t="shared" si="61"/>
        <v>2</v>
      </c>
      <c r="I992" s="2">
        <f t="shared" si="62"/>
        <v>0.70965384615384619</v>
      </c>
      <c r="J992" s="2">
        <f t="shared" si="63"/>
        <v>0</v>
      </c>
    </row>
    <row r="993" spans="1:10" x14ac:dyDescent="0.3">
      <c r="A993">
        <v>1000018010</v>
      </c>
      <c r="B993" s="1">
        <f>VLOOKUP(A993,[1]Sheet1!A:B,2,FALSE)</f>
        <v>40584</v>
      </c>
      <c r="C993" s="2">
        <v>0</v>
      </c>
      <c r="D993" s="2">
        <f>SUMIFS([1]Sheet1!D:D,[1]Sheet1!A:A,A993,[1]Sheet1!E:E,"Figurado")</f>
        <v>10158.4</v>
      </c>
      <c r="E993" s="2">
        <f>SUMIFS([1]Sheet1!D:D,[1]Sheet1!A:A,A993,[1]Sheet1!E:E,"Mallas")</f>
        <v>0</v>
      </c>
      <c r="F993" s="2">
        <f>SUMIFS([1]Sheet1!D:D,[1]Sheet1!A:A,A993,[1]Sheet1!E:E,"Materia Prima")</f>
        <v>120</v>
      </c>
      <c r="G993" s="2">
        <f t="shared" si="60"/>
        <v>3.9070769230769229</v>
      </c>
      <c r="H993">
        <f t="shared" si="61"/>
        <v>2</v>
      </c>
      <c r="I993" s="2">
        <f t="shared" si="62"/>
        <v>3.9070769230769229</v>
      </c>
      <c r="J993" s="2">
        <f t="shared" si="63"/>
        <v>0</v>
      </c>
    </row>
    <row r="994" spans="1:10" x14ac:dyDescent="0.3">
      <c r="A994">
        <v>1000018012</v>
      </c>
      <c r="B994" s="1">
        <f>VLOOKUP(A994,[1]Sheet1!A:B,2,FALSE)</f>
        <v>40584</v>
      </c>
      <c r="C994" s="2">
        <v>0</v>
      </c>
      <c r="D994" s="2">
        <f>SUMIFS([1]Sheet1!D:D,[1]Sheet1!A:A,A994,[1]Sheet1!E:E,"Figurado")</f>
        <v>6699</v>
      </c>
      <c r="E994" s="2">
        <f>SUMIFS([1]Sheet1!D:D,[1]Sheet1!A:A,A994,[1]Sheet1!E:E,"Mallas")</f>
        <v>0</v>
      </c>
      <c r="F994" s="2">
        <f>SUMIFS([1]Sheet1!D:D,[1]Sheet1!A:A,A994,[1]Sheet1!E:E,"Materia Prima")</f>
        <v>0</v>
      </c>
      <c r="G994" s="2">
        <f t="shared" si="60"/>
        <v>2.5765384615384614</v>
      </c>
      <c r="H994">
        <f t="shared" si="61"/>
        <v>1</v>
      </c>
      <c r="I994" s="2">
        <f t="shared" si="62"/>
        <v>2.5765384615384614</v>
      </c>
      <c r="J994" s="2">
        <f t="shared" si="63"/>
        <v>0</v>
      </c>
    </row>
    <row r="995" spans="1:10" x14ac:dyDescent="0.3">
      <c r="A995">
        <v>1000018016</v>
      </c>
      <c r="B995" s="1">
        <f>VLOOKUP(A995,[1]Sheet1!A:B,2,FALSE)</f>
        <v>40584</v>
      </c>
      <c r="C995" s="2">
        <v>0</v>
      </c>
      <c r="D995" s="2">
        <f>SUMIFS([1]Sheet1!D:D,[1]Sheet1!A:A,A995,[1]Sheet1!E:E,"Figurado")</f>
        <v>0</v>
      </c>
      <c r="E995" s="2">
        <f>SUMIFS([1]Sheet1!D:D,[1]Sheet1!A:A,A995,[1]Sheet1!E:E,"Mallas")</f>
        <v>0</v>
      </c>
      <c r="F995" s="2">
        <f>SUMIFS([1]Sheet1!D:D,[1]Sheet1!A:A,A995,[1]Sheet1!E:E,"Materia Prima")</f>
        <v>189</v>
      </c>
      <c r="G995" s="2">
        <f t="shared" si="60"/>
        <v>0</v>
      </c>
      <c r="H995">
        <f t="shared" si="61"/>
        <v>1</v>
      </c>
      <c r="I995" s="2">
        <f t="shared" si="62"/>
        <v>0</v>
      </c>
      <c r="J995" s="2">
        <f t="shared" si="63"/>
        <v>0</v>
      </c>
    </row>
    <row r="996" spans="1:10" x14ac:dyDescent="0.3">
      <c r="A996">
        <v>1000018019</v>
      </c>
      <c r="B996" s="1">
        <f>VLOOKUP(A996,[1]Sheet1!A:B,2,FALSE)</f>
        <v>40584</v>
      </c>
      <c r="C996" s="2">
        <v>0</v>
      </c>
      <c r="D996" s="2">
        <f>SUMIFS([1]Sheet1!D:D,[1]Sheet1!A:A,A996,[1]Sheet1!E:E,"Figurado")</f>
        <v>11175.899999999998</v>
      </c>
      <c r="E996" s="2">
        <f>SUMIFS([1]Sheet1!D:D,[1]Sheet1!A:A,A996,[1]Sheet1!E:E,"Mallas")</f>
        <v>0</v>
      </c>
      <c r="F996" s="2">
        <f>SUMIFS([1]Sheet1!D:D,[1]Sheet1!A:A,A996,[1]Sheet1!E:E,"Materia Prima")</f>
        <v>264.5</v>
      </c>
      <c r="G996" s="2">
        <f t="shared" si="60"/>
        <v>4.2984230769230765</v>
      </c>
      <c r="H996">
        <f t="shared" si="61"/>
        <v>2</v>
      </c>
      <c r="I996" s="2">
        <f t="shared" si="62"/>
        <v>4.2984230769230765</v>
      </c>
      <c r="J996" s="2">
        <f t="shared" si="63"/>
        <v>0</v>
      </c>
    </row>
    <row r="997" spans="1:10" x14ac:dyDescent="0.3">
      <c r="A997">
        <v>1000018020</v>
      </c>
      <c r="B997" s="1">
        <f>VLOOKUP(A997,[1]Sheet1!A:B,2,FALSE)</f>
        <v>40584</v>
      </c>
      <c r="C997" s="2">
        <v>0</v>
      </c>
      <c r="D997" s="2">
        <f>SUMIFS([1]Sheet1!D:D,[1]Sheet1!A:A,A997,[1]Sheet1!E:E,"Figurado")</f>
        <v>5217.0999999999995</v>
      </c>
      <c r="E997" s="2">
        <f>SUMIFS([1]Sheet1!D:D,[1]Sheet1!A:A,A997,[1]Sheet1!E:E,"Mallas")</f>
        <v>0</v>
      </c>
      <c r="F997" s="2">
        <f>SUMIFS([1]Sheet1!D:D,[1]Sheet1!A:A,A997,[1]Sheet1!E:E,"Materia Prima")</f>
        <v>40.299999999999997</v>
      </c>
      <c r="G997" s="2">
        <f t="shared" si="60"/>
        <v>2.0065769230769228</v>
      </c>
      <c r="H997">
        <f t="shared" si="61"/>
        <v>2</v>
      </c>
      <c r="I997" s="2">
        <f t="shared" si="62"/>
        <v>2.0065769230769228</v>
      </c>
      <c r="J997" s="2">
        <f t="shared" si="63"/>
        <v>0</v>
      </c>
    </row>
    <row r="998" spans="1:10" x14ac:dyDescent="0.3">
      <c r="A998">
        <v>1000018021</v>
      </c>
      <c r="B998" s="1">
        <f>VLOOKUP(A998,[1]Sheet1!A:B,2,FALSE)</f>
        <v>40584</v>
      </c>
      <c r="C998" s="2">
        <v>0</v>
      </c>
      <c r="D998" s="2">
        <f>SUMIFS([1]Sheet1!D:D,[1]Sheet1!A:A,A998,[1]Sheet1!E:E,"Figurado")</f>
        <v>3367.4</v>
      </c>
      <c r="E998" s="2">
        <f>SUMIFS([1]Sheet1!D:D,[1]Sheet1!A:A,A998,[1]Sheet1!E:E,"Mallas")</f>
        <v>0</v>
      </c>
      <c r="F998" s="2">
        <f>SUMIFS([1]Sheet1!D:D,[1]Sheet1!A:A,A998,[1]Sheet1!E:E,"Materia Prima")</f>
        <v>0</v>
      </c>
      <c r="G998" s="2">
        <f t="shared" si="60"/>
        <v>1.2951538461538461</v>
      </c>
      <c r="H998">
        <f t="shared" si="61"/>
        <v>1</v>
      </c>
      <c r="I998" s="2">
        <f t="shared" si="62"/>
        <v>1.2951538461538461</v>
      </c>
      <c r="J998" s="2">
        <f t="shared" si="63"/>
        <v>0</v>
      </c>
    </row>
    <row r="999" spans="1:10" x14ac:dyDescent="0.3">
      <c r="A999">
        <v>1000018022</v>
      </c>
      <c r="B999" s="1">
        <f>VLOOKUP(A999,[1]Sheet1!A:B,2,FALSE)</f>
        <v>40584</v>
      </c>
      <c r="C999" s="2">
        <v>0</v>
      </c>
      <c r="D999" s="2">
        <f>SUMIFS([1]Sheet1!D:D,[1]Sheet1!A:A,A999,[1]Sheet1!E:E,"Figurado")</f>
        <v>9689.2000000000007</v>
      </c>
      <c r="E999" s="2">
        <f>SUMIFS([1]Sheet1!D:D,[1]Sheet1!A:A,A999,[1]Sheet1!E:E,"Mallas")</f>
        <v>0</v>
      </c>
      <c r="F999" s="2">
        <f>SUMIFS([1]Sheet1!D:D,[1]Sheet1!A:A,A999,[1]Sheet1!E:E,"Materia Prima")</f>
        <v>0</v>
      </c>
      <c r="G999" s="2">
        <f t="shared" si="60"/>
        <v>3.7266153846153851</v>
      </c>
      <c r="H999">
        <f t="shared" si="61"/>
        <v>1</v>
      </c>
      <c r="I999" s="2">
        <f t="shared" si="62"/>
        <v>3.7266153846153851</v>
      </c>
      <c r="J999" s="2">
        <f t="shared" si="63"/>
        <v>0</v>
      </c>
    </row>
    <row r="1000" spans="1:10" x14ac:dyDescent="0.3">
      <c r="A1000">
        <v>1000018023</v>
      </c>
      <c r="B1000" s="1">
        <f>VLOOKUP(A1000,[1]Sheet1!A:B,2,FALSE)</f>
        <v>40584</v>
      </c>
      <c r="C1000" s="2">
        <v>0</v>
      </c>
      <c r="D1000" s="2">
        <f>SUMIFS([1]Sheet1!D:D,[1]Sheet1!A:A,A1000,[1]Sheet1!E:E,"Figurado")</f>
        <v>7000.9</v>
      </c>
      <c r="E1000" s="2">
        <f>SUMIFS([1]Sheet1!D:D,[1]Sheet1!A:A,A1000,[1]Sheet1!E:E,"Mallas")</f>
        <v>0</v>
      </c>
      <c r="F1000" s="2">
        <f>SUMIFS([1]Sheet1!D:D,[1]Sheet1!A:A,A1000,[1]Sheet1!E:E,"Materia Prima")</f>
        <v>0</v>
      </c>
      <c r="G1000" s="2">
        <f t="shared" si="60"/>
        <v>2.6926538461538461</v>
      </c>
      <c r="H1000">
        <f t="shared" si="61"/>
        <v>1</v>
      </c>
      <c r="I1000" s="2">
        <f t="shared" si="62"/>
        <v>2.6926538461538461</v>
      </c>
      <c r="J1000" s="2">
        <f t="shared" si="63"/>
        <v>0</v>
      </c>
    </row>
    <row r="1001" spans="1:10" x14ac:dyDescent="0.3">
      <c r="A1001">
        <v>1000018024</v>
      </c>
      <c r="B1001" s="1">
        <f>VLOOKUP(A1001,[1]Sheet1!A:B,2,FALSE)</f>
        <v>40584</v>
      </c>
      <c r="C1001" s="2">
        <v>0</v>
      </c>
      <c r="D1001" s="2">
        <f>SUMIFS([1]Sheet1!D:D,[1]Sheet1!A:A,A1001,[1]Sheet1!E:E,"Figurado")</f>
        <v>3331.7</v>
      </c>
      <c r="E1001" s="2">
        <f>SUMIFS([1]Sheet1!D:D,[1]Sheet1!A:A,A1001,[1]Sheet1!E:E,"Mallas")</f>
        <v>0</v>
      </c>
      <c r="F1001" s="2">
        <f>SUMIFS([1]Sheet1!D:D,[1]Sheet1!A:A,A1001,[1]Sheet1!E:E,"Materia Prima")</f>
        <v>272.60000000000002</v>
      </c>
      <c r="G1001" s="2">
        <f t="shared" si="60"/>
        <v>1.2814230769230768</v>
      </c>
      <c r="H1001">
        <f t="shared" si="61"/>
        <v>2</v>
      </c>
      <c r="I1001" s="2">
        <f t="shared" si="62"/>
        <v>1.2814230769230768</v>
      </c>
      <c r="J1001" s="2">
        <f t="shared" si="63"/>
        <v>0</v>
      </c>
    </row>
    <row r="1002" spans="1:10" x14ac:dyDescent="0.3">
      <c r="A1002">
        <v>1000018026</v>
      </c>
      <c r="B1002" s="1">
        <f>VLOOKUP(A1002,[1]Sheet1!A:B,2,FALSE)</f>
        <v>40584</v>
      </c>
      <c r="C1002" s="2">
        <v>0</v>
      </c>
      <c r="D1002" s="2">
        <f>SUMIFS([1]Sheet1!D:D,[1]Sheet1!A:A,A1002,[1]Sheet1!E:E,"Figurado")</f>
        <v>10302.799999999999</v>
      </c>
      <c r="E1002" s="2">
        <f>SUMIFS([1]Sheet1!D:D,[1]Sheet1!A:A,A1002,[1]Sheet1!E:E,"Mallas")</f>
        <v>0</v>
      </c>
      <c r="F1002" s="2">
        <f>SUMIFS([1]Sheet1!D:D,[1]Sheet1!A:A,A1002,[1]Sheet1!E:E,"Materia Prima")</f>
        <v>0</v>
      </c>
      <c r="G1002" s="2">
        <f t="shared" si="60"/>
        <v>3.9626153846153844</v>
      </c>
      <c r="H1002">
        <f t="shared" si="61"/>
        <v>1</v>
      </c>
      <c r="I1002" s="2">
        <f t="shared" si="62"/>
        <v>3.9626153846153844</v>
      </c>
      <c r="J1002" s="2">
        <f t="shared" si="63"/>
        <v>0</v>
      </c>
    </row>
    <row r="1003" spans="1:10" x14ac:dyDescent="0.3">
      <c r="A1003">
        <v>1000017565</v>
      </c>
      <c r="B1003" s="1">
        <f>VLOOKUP(A1003,[1]Sheet1!A:B,2,FALSE)</f>
        <v>40569</v>
      </c>
      <c r="C1003" s="2">
        <v>0</v>
      </c>
      <c r="D1003" s="2">
        <f>SUMIFS([1]Sheet1!D:D,[1]Sheet1!A:A,A1003,[1]Sheet1!E:E,"Figurado")</f>
        <v>1102.3</v>
      </c>
      <c r="E1003" s="2">
        <f>SUMIFS([1]Sheet1!D:D,[1]Sheet1!A:A,A1003,[1]Sheet1!E:E,"Mallas")</f>
        <v>0</v>
      </c>
      <c r="F1003" s="2">
        <f>SUMIFS([1]Sheet1!D:D,[1]Sheet1!A:A,A1003,[1]Sheet1!E:E,"Materia Prima")</f>
        <v>0</v>
      </c>
      <c r="G1003" s="2">
        <f t="shared" si="60"/>
        <v>0.42396153846153845</v>
      </c>
      <c r="H1003">
        <f t="shared" si="61"/>
        <v>1</v>
      </c>
      <c r="I1003" s="2">
        <f t="shared" si="62"/>
        <v>0.42396153846153845</v>
      </c>
      <c r="J1003" s="2">
        <f t="shared" si="63"/>
        <v>0</v>
      </c>
    </row>
    <row r="1004" spans="1:10" x14ac:dyDescent="0.3">
      <c r="A1004">
        <v>1000017897</v>
      </c>
      <c r="B1004" s="1">
        <f>VLOOKUP(A1004,[1]Sheet1!A:B,2,FALSE)</f>
        <v>40579</v>
      </c>
      <c r="C1004" s="2">
        <v>0</v>
      </c>
      <c r="D1004" s="2">
        <f>SUMIFS([1]Sheet1!D:D,[1]Sheet1!A:A,A1004,[1]Sheet1!E:E,"Figurado")</f>
        <v>58.5</v>
      </c>
      <c r="E1004" s="2">
        <f>SUMIFS([1]Sheet1!D:D,[1]Sheet1!A:A,A1004,[1]Sheet1!E:E,"Mallas")</f>
        <v>0</v>
      </c>
      <c r="F1004" s="2">
        <f>SUMIFS([1]Sheet1!D:D,[1]Sheet1!A:A,A1004,[1]Sheet1!E:E,"Materia Prima")</f>
        <v>0</v>
      </c>
      <c r="G1004" s="2">
        <f t="shared" si="60"/>
        <v>2.2499999999999999E-2</v>
      </c>
      <c r="H1004">
        <f t="shared" si="61"/>
        <v>1</v>
      </c>
      <c r="I1004" s="2">
        <f t="shared" si="62"/>
        <v>2.2499999999999999E-2</v>
      </c>
      <c r="J1004" s="2">
        <f t="shared" si="63"/>
        <v>0</v>
      </c>
    </row>
    <row r="1005" spans="1:10" x14ac:dyDescent="0.3">
      <c r="A1005">
        <v>1000017898</v>
      </c>
      <c r="B1005" s="1">
        <f>VLOOKUP(A1005,[1]Sheet1!A:B,2,FALSE)</f>
        <v>40579</v>
      </c>
      <c r="C1005" s="2">
        <v>0</v>
      </c>
      <c r="D1005" s="2">
        <f>SUMIFS([1]Sheet1!D:D,[1]Sheet1!A:A,A1005,[1]Sheet1!E:E,"Figurado")</f>
        <v>58.5</v>
      </c>
      <c r="E1005" s="2">
        <f>SUMIFS([1]Sheet1!D:D,[1]Sheet1!A:A,A1005,[1]Sheet1!E:E,"Mallas")</f>
        <v>0</v>
      </c>
      <c r="F1005" s="2">
        <f>SUMIFS([1]Sheet1!D:D,[1]Sheet1!A:A,A1005,[1]Sheet1!E:E,"Materia Prima")</f>
        <v>0</v>
      </c>
      <c r="G1005" s="2">
        <f t="shared" si="60"/>
        <v>2.2499999999999999E-2</v>
      </c>
      <c r="H1005">
        <f t="shared" si="61"/>
        <v>1</v>
      </c>
      <c r="I1005" s="2">
        <f t="shared" si="62"/>
        <v>2.2499999999999999E-2</v>
      </c>
      <c r="J1005" s="2">
        <f t="shared" si="63"/>
        <v>0</v>
      </c>
    </row>
    <row r="1006" spans="1:10" x14ac:dyDescent="0.3">
      <c r="A1006">
        <v>1000017899</v>
      </c>
      <c r="B1006" s="1">
        <f>VLOOKUP(A1006,[1]Sheet1!A:B,2,FALSE)</f>
        <v>40579</v>
      </c>
      <c r="C1006" s="2">
        <v>0</v>
      </c>
      <c r="D1006" s="2">
        <f>SUMIFS([1]Sheet1!D:D,[1]Sheet1!A:A,A1006,[1]Sheet1!E:E,"Figurado")</f>
        <v>71.5</v>
      </c>
      <c r="E1006" s="2">
        <f>SUMIFS([1]Sheet1!D:D,[1]Sheet1!A:A,A1006,[1]Sheet1!E:E,"Mallas")</f>
        <v>0</v>
      </c>
      <c r="F1006" s="2">
        <f>SUMIFS([1]Sheet1!D:D,[1]Sheet1!A:A,A1006,[1]Sheet1!E:E,"Materia Prima")</f>
        <v>0</v>
      </c>
      <c r="G1006" s="2">
        <f t="shared" si="60"/>
        <v>2.75E-2</v>
      </c>
      <c r="H1006">
        <f t="shared" si="61"/>
        <v>1</v>
      </c>
      <c r="I1006" s="2">
        <f t="shared" si="62"/>
        <v>2.75E-2</v>
      </c>
      <c r="J1006" s="2">
        <f t="shared" si="63"/>
        <v>0</v>
      </c>
    </row>
    <row r="1007" spans="1:10" x14ac:dyDescent="0.3">
      <c r="A1007">
        <v>1000017900</v>
      </c>
      <c r="B1007" s="1">
        <f>VLOOKUP(A1007,[1]Sheet1!A:B,2,FALSE)</f>
        <v>40579</v>
      </c>
      <c r="C1007" s="2">
        <v>0</v>
      </c>
      <c r="D1007" s="2">
        <f>SUMIFS([1]Sheet1!D:D,[1]Sheet1!A:A,A1007,[1]Sheet1!E:E,"Figurado")</f>
        <v>71.5</v>
      </c>
      <c r="E1007" s="2">
        <f>SUMIFS([1]Sheet1!D:D,[1]Sheet1!A:A,A1007,[1]Sheet1!E:E,"Mallas")</f>
        <v>0</v>
      </c>
      <c r="F1007" s="2">
        <f>SUMIFS([1]Sheet1!D:D,[1]Sheet1!A:A,A1007,[1]Sheet1!E:E,"Materia Prima")</f>
        <v>0</v>
      </c>
      <c r="G1007" s="2">
        <f t="shared" si="60"/>
        <v>2.75E-2</v>
      </c>
      <c r="H1007">
        <f t="shared" si="61"/>
        <v>1</v>
      </c>
      <c r="I1007" s="2">
        <f t="shared" si="62"/>
        <v>2.75E-2</v>
      </c>
      <c r="J1007" s="2">
        <f t="shared" si="63"/>
        <v>0</v>
      </c>
    </row>
    <row r="1008" spans="1:10" x14ac:dyDescent="0.3">
      <c r="A1008">
        <v>1000017901</v>
      </c>
      <c r="B1008" s="1">
        <f>VLOOKUP(A1008,[1]Sheet1!A:B,2,FALSE)</f>
        <v>40579</v>
      </c>
      <c r="C1008" s="2">
        <v>0</v>
      </c>
      <c r="D1008" s="2">
        <f>SUMIFS([1]Sheet1!D:D,[1]Sheet1!A:A,A1008,[1]Sheet1!E:E,"Figurado")</f>
        <v>2318.3000000000002</v>
      </c>
      <c r="E1008" s="2">
        <f>SUMIFS([1]Sheet1!D:D,[1]Sheet1!A:A,A1008,[1]Sheet1!E:E,"Mallas")</f>
        <v>0</v>
      </c>
      <c r="F1008" s="2">
        <f>SUMIFS([1]Sheet1!D:D,[1]Sheet1!A:A,A1008,[1]Sheet1!E:E,"Materia Prima")</f>
        <v>0</v>
      </c>
      <c r="G1008" s="2">
        <f t="shared" si="60"/>
        <v>0.89165384615384624</v>
      </c>
      <c r="H1008">
        <f t="shared" si="61"/>
        <v>1</v>
      </c>
      <c r="I1008" s="2">
        <f t="shared" si="62"/>
        <v>0.89165384615384624</v>
      </c>
      <c r="J1008" s="2">
        <f t="shared" si="63"/>
        <v>0</v>
      </c>
    </row>
    <row r="1009" spans="1:10" x14ac:dyDescent="0.3">
      <c r="A1009">
        <v>1000017902</v>
      </c>
      <c r="B1009" s="1">
        <f>VLOOKUP(A1009,[1]Sheet1!A:B,2,FALSE)</f>
        <v>40579</v>
      </c>
      <c r="C1009" s="2">
        <v>0</v>
      </c>
      <c r="D1009" s="2">
        <f>SUMIFS([1]Sheet1!D:D,[1]Sheet1!A:A,A1009,[1]Sheet1!E:E,"Figurado")</f>
        <v>3232.2999999999997</v>
      </c>
      <c r="E1009" s="2">
        <f>SUMIFS([1]Sheet1!D:D,[1]Sheet1!A:A,A1009,[1]Sheet1!E:E,"Mallas")</f>
        <v>0</v>
      </c>
      <c r="F1009" s="2">
        <f>SUMIFS([1]Sheet1!D:D,[1]Sheet1!A:A,A1009,[1]Sheet1!E:E,"Materia Prima")</f>
        <v>0</v>
      </c>
      <c r="G1009" s="2">
        <f t="shared" si="60"/>
        <v>1.2431923076923075</v>
      </c>
      <c r="H1009">
        <f t="shared" si="61"/>
        <v>1</v>
      </c>
      <c r="I1009" s="2">
        <f t="shared" si="62"/>
        <v>1.2431923076923075</v>
      </c>
      <c r="J1009" s="2">
        <f t="shared" si="63"/>
        <v>0</v>
      </c>
    </row>
    <row r="1010" spans="1:10" x14ac:dyDescent="0.3">
      <c r="A1010">
        <v>1000017929</v>
      </c>
      <c r="B1010" s="1">
        <f>VLOOKUP(A1010,[1]Sheet1!A:B,2,FALSE)</f>
        <v>40581</v>
      </c>
      <c r="C1010" s="2">
        <v>0</v>
      </c>
      <c r="D1010" s="2">
        <f>SUMIFS([1]Sheet1!D:D,[1]Sheet1!A:A,A1010,[1]Sheet1!E:E,"Figurado")</f>
        <v>9327.0999999999985</v>
      </c>
      <c r="E1010" s="2">
        <f>SUMIFS([1]Sheet1!D:D,[1]Sheet1!A:A,A1010,[1]Sheet1!E:E,"Mallas")</f>
        <v>0</v>
      </c>
      <c r="F1010" s="2">
        <f>SUMIFS([1]Sheet1!D:D,[1]Sheet1!A:A,A1010,[1]Sheet1!E:E,"Materia Prima")</f>
        <v>0</v>
      </c>
      <c r="G1010" s="2">
        <f t="shared" si="60"/>
        <v>3.5873461538461533</v>
      </c>
      <c r="H1010">
        <f t="shared" si="61"/>
        <v>1</v>
      </c>
      <c r="I1010" s="2">
        <f t="shared" si="62"/>
        <v>3.5873461538461533</v>
      </c>
      <c r="J1010" s="2">
        <f t="shared" si="63"/>
        <v>0</v>
      </c>
    </row>
    <row r="1011" spans="1:10" x14ac:dyDescent="0.3">
      <c r="A1011">
        <v>1000017967</v>
      </c>
      <c r="B1011" s="1">
        <f>VLOOKUP(A1011,[1]Sheet1!A:B,2,FALSE)</f>
        <v>40582</v>
      </c>
      <c r="C1011" s="2">
        <v>0</v>
      </c>
      <c r="D1011" s="2">
        <f>SUMIFS([1]Sheet1!D:D,[1]Sheet1!A:A,A1011,[1]Sheet1!E:E,"Figurado")</f>
        <v>0</v>
      </c>
      <c r="E1011" s="2">
        <f>SUMIFS([1]Sheet1!D:D,[1]Sheet1!A:A,A1011,[1]Sheet1!E:E,"Mallas")</f>
        <v>0</v>
      </c>
      <c r="F1011" s="2">
        <f>SUMIFS([1]Sheet1!D:D,[1]Sheet1!A:A,A1011,[1]Sheet1!E:E,"Materia Prima")</f>
        <v>33716</v>
      </c>
      <c r="G1011" s="2">
        <f t="shared" si="60"/>
        <v>0</v>
      </c>
      <c r="H1011">
        <f t="shared" si="61"/>
        <v>1</v>
      </c>
      <c r="I1011" s="2">
        <f t="shared" si="62"/>
        <v>0</v>
      </c>
      <c r="J1011" s="2">
        <f t="shared" si="63"/>
        <v>0</v>
      </c>
    </row>
    <row r="1012" spans="1:10" x14ac:dyDescent="0.3">
      <c r="A1012">
        <v>1000017986</v>
      </c>
      <c r="B1012" s="1">
        <f>VLOOKUP(A1012,[1]Sheet1!A:B,2,FALSE)</f>
        <v>40583</v>
      </c>
      <c r="C1012" s="2">
        <v>0</v>
      </c>
      <c r="D1012" s="2">
        <f>SUMIFS([1]Sheet1!D:D,[1]Sheet1!A:A,A1012,[1]Sheet1!E:E,"Figurado")</f>
        <v>6638.9</v>
      </c>
      <c r="E1012" s="2">
        <f>SUMIFS([1]Sheet1!D:D,[1]Sheet1!A:A,A1012,[1]Sheet1!E:E,"Mallas")</f>
        <v>0</v>
      </c>
      <c r="F1012" s="2">
        <f>SUMIFS([1]Sheet1!D:D,[1]Sheet1!A:A,A1012,[1]Sheet1!E:E,"Materia Prima")</f>
        <v>0</v>
      </c>
      <c r="G1012" s="2">
        <f t="shared" si="60"/>
        <v>2.5534230769230768</v>
      </c>
      <c r="H1012">
        <f t="shared" si="61"/>
        <v>1</v>
      </c>
      <c r="I1012" s="2">
        <f t="shared" si="62"/>
        <v>2.5534230769230768</v>
      </c>
      <c r="J1012" s="2">
        <f t="shared" si="63"/>
        <v>0</v>
      </c>
    </row>
    <row r="1013" spans="1:10" x14ac:dyDescent="0.3">
      <c r="A1013">
        <v>1000017987</v>
      </c>
      <c r="B1013" s="1">
        <f>VLOOKUP(A1013,[1]Sheet1!A:B,2,FALSE)</f>
        <v>40583</v>
      </c>
      <c r="C1013" s="2">
        <v>0</v>
      </c>
      <c r="D1013" s="2">
        <f>SUMIFS([1]Sheet1!D:D,[1]Sheet1!A:A,A1013,[1]Sheet1!E:E,"Figurado")</f>
        <v>0</v>
      </c>
      <c r="E1013" s="2">
        <f>SUMIFS([1]Sheet1!D:D,[1]Sheet1!A:A,A1013,[1]Sheet1!E:E,"Mallas")</f>
        <v>0</v>
      </c>
      <c r="F1013" s="2">
        <f>SUMIFS([1]Sheet1!D:D,[1]Sheet1!A:A,A1013,[1]Sheet1!E:E,"Materia Prima")</f>
        <v>460.8</v>
      </c>
      <c r="G1013" s="2">
        <f t="shared" si="60"/>
        <v>0</v>
      </c>
      <c r="H1013">
        <f t="shared" si="61"/>
        <v>1</v>
      </c>
      <c r="I1013" s="2">
        <f t="shared" si="62"/>
        <v>0</v>
      </c>
      <c r="J1013" s="2">
        <f t="shared" si="63"/>
        <v>0</v>
      </c>
    </row>
    <row r="1014" spans="1:10" x14ac:dyDescent="0.3">
      <c r="A1014">
        <v>1000018025</v>
      </c>
      <c r="B1014" s="1">
        <f>VLOOKUP(A1014,[1]Sheet1!A:B,2,FALSE)</f>
        <v>40584</v>
      </c>
      <c r="C1014" s="2">
        <v>0</v>
      </c>
      <c r="D1014" s="2">
        <f>SUMIFS([1]Sheet1!D:D,[1]Sheet1!A:A,A1014,[1]Sheet1!E:E,"Figurado")</f>
        <v>8201</v>
      </c>
      <c r="E1014" s="2">
        <f>SUMIFS([1]Sheet1!D:D,[1]Sheet1!A:A,A1014,[1]Sheet1!E:E,"Mallas")</f>
        <v>0</v>
      </c>
      <c r="F1014" s="2">
        <f>SUMIFS([1]Sheet1!D:D,[1]Sheet1!A:A,A1014,[1]Sheet1!E:E,"Materia Prima")</f>
        <v>161.30000000000001</v>
      </c>
      <c r="G1014" s="2">
        <f t="shared" si="60"/>
        <v>3.1542307692307694</v>
      </c>
      <c r="H1014">
        <f t="shared" si="61"/>
        <v>2</v>
      </c>
      <c r="I1014" s="2">
        <f t="shared" si="62"/>
        <v>3.1542307692307694</v>
      </c>
      <c r="J1014" s="2">
        <f t="shared" si="63"/>
        <v>0</v>
      </c>
    </row>
    <row r="1015" spans="1:10" x14ac:dyDescent="0.3">
      <c r="A1015">
        <v>1000018027</v>
      </c>
      <c r="B1015" s="1">
        <f>VLOOKUP(A1015,[1]Sheet1!A:B,2,FALSE)</f>
        <v>40584</v>
      </c>
      <c r="C1015" s="2">
        <v>0</v>
      </c>
      <c r="D1015" s="2">
        <f>SUMIFS([1]Sheet1!D:D,[1]Sheet1!A:A,A1015,[1]Sheet1!E:E,"Figurado")</f>
        <v>0</v>
      </c>
      <c r="E1015" s="2">
        <f>SUMIFS([1]Sheet1!D:D,[1]Sheet1!A:A,A1015,[1]Sheet1!E:E,"Mallas")</f>
        <v>8306.9599999999991</v>
      </c>
      <c r="F1015" s="2">
        <f>SUMIFS([1]Sheet1!D:D,[1]Sheet1!A:A,A1015,[1]Sheet1!E:E,"Materia Prima")</f>
        <v>0</v>
      </c>
      <c r="G1015" s="2">
        <f t="shared" si="60"/>
        <v>10.383699999999999</v>
      </c>
      <c r="H1015">
        <f t="shared" si="61"/>
        <v>1</v>
      </c>
      <c r="I1015" s="2">
        <f t="shared" si="62"/>
        <v>0</v>
      </c>
      <c r="J1015" s="2">
        <f t="shared" si="63"/>
        <v>10.383699999999999</v>
      </c>
    </row>
    <row r="1016" spans="1:10" x14ac:dyDescent="0.3">
      <c r="A1016">
        <v>1000018029</v>
      </c>
      <c r="B1016" s="1">
        <f>VLOOKUP(A1016,[1]Sheet1!A:B,2,FALSE)</f>
        <v>40584</v>
      </c>
      <c r="C1016" s="2">
        <v>0</v>
      </c>
      <c r="D1016" s="2">
        <f>SUMIFS([1]Sheet1!D:D,[1]Sheet1!A:A,A1016,[1]Sheet1!E:E,"Figurado")</f>
        <v>0</v>
      </c>
      <c r="E1016" s="2">
        <f>SUMIFS([1]Sheet1!D:D,[1]Sheet1!A:A,A1016,[1]Sheet1!E:E,"Mallas")</f>
        <v>0</v>
      </c>
      <c r="F1016" s="2">
        <f>SUMIFS([1]Sheet1!D:D,[1]Sheet1!A:A,A1016,[1]Sheet1!E:E,"Materia Prima")</f>
        <v>143.26400000000001</v>
      </c>
      <c r="G1016" s="2">
        <f t="shared" si="60"/>
        <v>0</v>
      </c>
      <c r="H1016">
        <f t="shared" si="61"/>
        <v>1</v>
      </c>
      <c r="I1016" s="2">
        <f t="shared" si="62"/>
        <v>0</v>
      </c>
      <c r="J1016" s="2">
        <f t="shared" si="63"/>
        <v>0</v>
      </c>
    </row>
    <row r="1017" spans="1:10" x14ac:dyDescent="0.3">
      <c r="A1017">
        <v>1000018030</v>
      </c>
      <c r="B1017" s="1">
        <f>VLOOKUP(A1017,[1]Sheet1!A:B,2,FALSE)</f>
        <v>40584</v>
      </c>
      <c r="C1017" s="2">
        <v>0</v>
      </c>
      <c r="D1017" s="2">
        <f>SUMIFS([1]Sheet1!D:D,[1]Sheet1!A:A,A1017,[1]Sheet1!E:E,"Figurado")</f>
        <v>0</v>
      </c>
      <c r="E1017" s="2">
        <f>SUMIFS([1]Sheet1!D:D,[1]Sheet1!A:A,A1017,[1]Sheet1!E:E,"Mallas")</f>
        <v>0</v>
      </c>
      <c r="F1017" s="2">
        <f>SUMIFS([1]Sheet1!D:D,[1]Sheet1!A:A,A1017,[1]Sheet1!E:E,"Materia Prima")</f>
        <v>16.8</v>
      </c>
      <c r="G1017" s="2">
        <f t="shared" si="60"/>
        <v>0</v>
      </c>
      <c r="H1017">
        <f t="shared" si="61"/>
        <v>1</v>
      </c>
      <c r="I1017" s="2">
        <f t="shared" si="62"/>
        <v>0</v>
      </c>
      <c r="J1017" s="2">
        <f t="shared" si="63"/>
        <v>0</v>
      </c>
    </row>
    <row r="1018" spans="1:10" x14ac:dyDescent="0.3">
      <c r="A1018">
        <v>1000018031</v>
      </c>
      <c r="B1018" s="1">
        <f>VLOOKUP(A1018,[1]Sheet1!A:B,2,FALSE)</f>
        <v>40584</v>
      </c>
      <c r="C1018" s="2">
        <v>0</v>
      </c>
      <c r="D1018" s="2">
        <f>SUMIFS([1]Sheet1!D:D,[1]Sheet1!A:A,A1018,[1]Sheet1!E:E,"Figurado")</f>
        <v>0</v>
      </c>
      <c r="E1018" s="2">
        <f>SUMIFS([1]Sheet1!D:D,[1]Sheet1!A:A,A1018,[1]Sheet1!E:E,"Mallas")</f>
        <v>0</v>
      </c>
      <c r="F1018" s="2">
        <f>SUMIFS([1]Sheet1!D:D,[1]Sheet1!A:A,A1018,[1]Sheet1!E:E,"Materia Prima")</f>
        <v>16.8</v>
      </c>
      <c r="G1018" s="2">
        <f t="shared" si="60"/>
        <v>0</v>
      </c>
      <c r="H1018">
        <f t="shared" si="61"/>
        <v>1</v>
      </c>
      <c r="I1018" s="2">
        <f t="shared" si="62"/>
        <v>0</v>
      </c>
      <c r="J1018" s="2">
        <f t="shared" si="63"/>
        <v>0</v>
      </c>
    </row>
    <row r="1019" spans="1:10" x14ac:dyDescent="0.3">
      <c r="A1019">
        <v>1000018032</v>
      </c>
      <c r="B1019" s="1">
        <f>VLOOKUP(A1019,[1]Sheet1!A:B,2,FALSE)</f>
        <v>40584</v>
      </c>
      <c r="C1019" s="2">
        <v>0</v>
      </c>
      <c r="D1019" s="2">
        <f>SUMIFS([1]Sheet1!D:D,[1]Sheet1!A:A,A1019,[1]Sheet1!E:E,"Figurado")</f>
        <v>0</v>
      </c>
      <c r="E1019" s="2">
        <f>SUMIFS([1]Sheet1!D:D,[1]Sheet1!A:A,A1019,[1]Sheet1!E:E,"Mallas")</f>
        <v>0</v>
      </c>
      <c r="F1019" s="2">
        <f>SUMIFS([1]Sheet1!D:D,[1]Sheet1!A:A,A1019,[1]Sheet1!E:E,"Materia Prima")</f>
        <v>16.8</v>
      </c>
      <c r="G1019" s="2">
        <f t="shared" si="60"/>
        <v>0</v>
      </c>
      <c r="H1019">
        <f t="shared" si="61"/>
        <v>1</v>
      </c>
      <c r="I1019" s="2">
        <f t="shared" si="62"/>
        <v>0</v>
      </c>
      <c r="J1019" s="2">
        <f t="shared" si="63"/>
        <v>0</v>
      </c>
    </row>
    <row r="1020" spans="1:10" x14ac:dyDescent="0.3">
      <c r="A1020">
        <v>1000018033</v>
      </c>
      <c r="B1020" s="1">
        <f>VLOOKUP(A1020,[1]Sheet1!A:B,2,FALSE)</f>
        <v>40584</v>
      </c>
      <c r="C1020" s="2">
        <v>0</v>
      </c>
      <c r="D1020" s="2">
        <f>SUMIFS([1]Sheet1!D:D,[1]Sheet1!A:A,A1020,[1]Sheet1!E:E,"Figurado")</f>
        <v>0</v>
      </c>
      <c r="E1020" s="2">
        <f>SUMIFS([1]Sheet1!D:D,[1]Sheet1!A:A,A1020,[1]Sheet1!E:E,"Mallas")</f>
        <v>0</v>
      </c>
      <c r="F1020" s="2">
        <f>SUMIFS([1]Sheet1!D:D,[1]Sheet1!A:A,A1020,[1]Sheet1!E:E,"Materia Prima")</f>
        <v>16.8</v>
      </c>
      <c r="G1020" s="2">
        <f t="shared" si="60"/>
        <v>0</v>
      </c>
      <c r="H1020">
        <f t="shared" si="61"/>
        <v>1</v>
      </c>
      <c r="I1020" s="2">
        <f t="shared" si="62"/>
        <v>0</v>
      </c>
      <c r="J1020" s="2">
        <f t="shared" si="63"/>
        <v>0</v>
      </c>
    </row>
    <row r="1021" spans="1:10" x14ac:dyDescent="0.3">
      <c r="A1021">
        <v>1000018034</v>
      </c>
      <c r="B1021" s="1">
        <f>VLOOKUP(A1021,[1]Sheet1!A:B,2,FALSE)</f>
        <v>40584</v>
      </c>
      <c r="C1021" s="2">
        <v>0</v>
      </c>
      <c r="D1021" s="2">
        <f>SUMIFS([1]Sheet1!D:D,[1]Sheet1!A:A,A1021,[1]Sheet1!E:E,"Figurado")</f>
        <v>0</v>
      </c>
      <c r="E1021" s="2">
        <f>SUMIFS([1]Sheet1!D:D,[1]Sheet1!A:A,A1021,[1]Sheet1!E:E,"Mallas")</f>
        <v>390</v>
      </c>
      <c r="F1021" s="2">
        <f>SUMIFS([1]Sheet1!D:D,[1]Sheet1!A:A,A1021,[1]Sheet1!E:E,"Materia Prima")</f>
        <v>0</v>
      </c>
      <c r="G1021" s="2">
        <f t="shared" si="60"/>
        <v>0.48749999999999999</v>
      </c>
      <c r="H1021">
        <f t="shared" si="61"/>
        <v>1</v>
      </c>
      <c r="I1021" s="2">
        <f t="shared" si="62"/>
        <v>0</v>
      </c>
      <c r="J1021" s="2">
        <f t="shared" si="63"/>
        <v>0.48749999999999999</v>
      </c>
    </row>
    <row r="1022" spans="1:10" x14ac:dyDescent="0.3">
      <c r="A1022">
        <v>1000018035</v>
      </c>
      <c r="B1022" s="1">
        <f>VLOOKUP(A1022,[1]Sheet1!A:B,2,FALSE)</f>
        <v>40584</v>
      </c>
      <c r="C1022" s="2">
        <v>0</v>
      </c>
      <c r="D1022" s="2">
        <f>SUMIFS([1]Sheet1!D:D,[1]Sheet1!A:A,A1022,[1]Sheet1!E:E,"Figurado")</f>
        <v>0</v>
      </c>
      <c r="E1022" s="2">
        <f>SUMIFS([1]Sheet1!D:D,[1]Sheet1!A:A,A1022,[1]Sheet1!E:E,"Mallas")</f>
        <v>344</v>
      </c>
      <c r="F1022" s="2">
        <f>SUMIFS([1]Sheet1!D:D,[1]Sheet1!A:A,A1022,[1]Sheet1!E:E,"Materia Prima")</f>
        <v>0</v>
      </c>
      <c r="G1022" s="2">
        <f t="shared" si="60"/>
        <v>0.43</v>
      </c>
      <c r="H1022">
        <f t="shared" si="61"/>
        <v>1</v>
      </c>
      <c r="I1022" s="2">
        <f t="shared" si="62"/>
        <v>0</v>
      </c>
      <c r="J1022" s="2">
        <f t="shared" si="63"/>
        <v>0.43</v>
      </c>
    </row>
    <row r="1023" spans="1:10" x14ac:dyDescent="0.3">
      <c r="A1023">
        <v>1000018036</v>
      </c>
      <c r="B1023" s="1">
        <f>VLOOKUP(A1023,[1]Sheet1!A:B,2,FALSE)</f>
        <v>40584</v>
      </c>
      <c r="C1023" s="2">
        <v>0</v>
      </c>
      <c r="D1023" s="2">
        <f>SUMIFS([1]Sheet1!D:D,[1]Sheet1!A:A,A1023,[1]Sheet1!E:E,"Figurado")</f>
        <v>0</v>
      </c>
      <c r="E1023" s="2">
        <f>SUMIFS([1]Sheet1!D:D,[1]Sheet1!A:A,A1023,[1]Sheet1!E:E,"Mallas")</f>
        <v>390</v>
      </c>
      <c r="F1023" s="2">
        <f>SUMIFS([1]Sheet1!D:D,[1]Sheet1!A:A,A1023,[1]Sheet1!E:E,"Materia Prima")</f>
        <v>0</v>
      </c>
      <c r="G1023" s="2">
        <f t="shared" si="60"/>
        <v>0.48749999999999999</v>
      </c>
      <c r="H1023">
        <f t="shared" si="61"/>
        <v>1</v>
      </c>
      <c r="I1023" s="2">
        <f t="shared" si="62"/>
        <v>0</v>
      </c>
      <c r="J1023" s="2">
        <f t="shared" si="63"/>
        <v>0.48749999999999999</v>
      </c>
    </row>
    <row r="1024" spans="1:10" x14ac:dyDescent="0.3">
      <c r="A1024">
        <v>1000018037</v>
      </c>
      <c r="B1024" s="1">
        <f>VLOOKUP(A1024,[1]Sheet1!A:B,2,FALSE)</f>
        <v>40584</v>
      </c>
      <c r="C1024" s="2">
        <v>0</v>
      </c>
      <c r="D1024" s="2">
        <f>SUMIFS([1]Sheet1!D:D,[1]Sheet1!A:A,A1024,[1]Sheet1!E:E,"Figurado")</f>
        <v>0</v>
      </c>
      <c r="E1024" s="2">
        <f>SUMIFS([1]Sheet1!D:D,[1]Sheet1!A:A,A1024,[1]Sheet1!E:E,"Mallas")</f>
        <v>315</v>
      </c>
      <c r="F1024" s="2">
        <f>SUMIFS([1]Sheet1!D:D,[1]Sheet1!A:A,A1024,[1]Sheet1!E:E,"Materia Prima")</f>
        <v>0</v>
      </c>
      <c r="G1024" s="2">
        <f t="shared" si="60"/>
        <v>0.39374999999999999</v>
      </c>
      <c r="H1024">
        <f t="shared" si="61"/>
        <v>1</v>
      </c>
      <c r="I1024" s="2">
        <f t="shared" si="62"/>
        <v>0</v>
      </c>
      <c r="J1024" s="2">
        <f t="shared" si="63"/>
        <v>0.39374999999999999</v>
      </c>
    </row>
    <row r="1025" spans="1:10" x14ac:dyDescent="0.3">
      <c r="A1025">
        <v>1000018038</v>
      </c>
      <c r="B1025" s="1">
        <f>VLOOKUP(A1025,[1]Sheet1!A:B,2,FALSE)</f>
        <v>40584</v>
      </c>
      <c r="C1025" s="2">
        <v>0</v>
      </c>
      <c r="D1025" s="2">
        <f>SUMIFS([1]Sheet1!D:D,[1]Sheet1!A:A,A1025,[1]Sheet1!E:E,"Figurado")</f>
        <v>0</v>
      </c>
      <c r="E1025" s="2">
        <f>SUMIFS([1]Sheet1!D:D,[1]Sheet1!A:A,A1025,[1]Sheet1!E:E,"Mallas")</f>
        <v>315</v>
      </c>
      <c r="F1025" s="2">
        <f>SUMIFS([1]Sheet1!D:D,[1]Sheet1!A:A,A1025,[1]Sheet1!E:E,"Materia Prima")</f>
        <v>0</v>
      </c>
      <c r="G1025" s="2">
        <f t="shared" si="60"/>
        <v>0.39374999999999999</v>
      </c>
      <c r="H1025">
        <f t="shared" si="61"/>
        <v>1</v>
      </c>
      <c r="I1025" s="2">
        <f t="shared" si="62"/>
        <v>0</v>
      </c>
      <c r="J1025" s="2">
        <f t="shared" si="63"/>
        <v>0.39374999999999999</v>
      </c>
    </row>
    <row r="1026" spans="1:10" x14ac:dyDescent="0.3">
      <c r="A1026">
        <v>1000018041</v>
      </c>
      <c r="B1026" s="1">
        <f>VLOOKUP(A1026,[1]Sheet1!A:B,2,FALSE)</f>
        <v>40585</v>
      </c>
      <c r="C1026" s="2">
        <v>0</v>
      </c>
      <c r="D1026" s="2">
        <f>SUMIFS([1]Sheet1!D:D,[1]Sheet1!A:A,A1026,[1]Sheet1!E:E,"Figurado")</f>
        <v>2167.1</v>
      </c>
      <c r="E1026" s="2">
        <f>SUMIFS([1]Sheet1!D:D,[1]Sheet1!A:A,A1026,[1]Sheet1!E:E,"Mallas")</f>
        <v>0</v>
      </c>
      <c r="F1026" s="2">
        <f>SUMIFS([1]Sheet1!D:D,[1]Sheet1!A:A,A1026,[1]Sheet1!E:E,"Materia Prima")</f>
        <v>26.9</v>
      </c>
      <c r="G1026" s="2">
        <f t="shared" si="60"/>
        <v>0.83350000000000002</v>
      </c>
      <c r="H1026">
        <f t="shared" si="61"/>
        <v>2</v>
      </c>
      <c r="I1026" s="2">
        <f t="shared" si="62"/>
        <v>0.83350000000000002</v>
      </c>
      <c r="J1026" s="2">
        <f t="shared" si="63"/>
        <v>0</v>
      </c>
    </row>
    <row r="1027" spans="1:10" x14ac:dyDescent="0.3">
      <c r="A1027">
        <v>1000018042</v>
      </c>
      <c r="B1027" s="1">
        <f>VLOOKUP(A1027,[1]Sheet1!A:B,2,FALSE)</f>
        <v>40585</v>
      </c>
      <c r="C1027" s="2">
        <v>0</v>
      </c>
      <c r="D1027" s="2">
        <f>SUMIFS([1]Sheet1!D:D,[1]Sheet1!A:A,A1027,[1]Sheet1!E:E,"Figurado")</f>
        <v>4192.6000000000004</v>
      </c>
      <c r="E1027" s="2">
        <f>SUMIFS([1]Sheet1!D:D,[1]Sheet1!A:A,A1027,[1]Sheet1!E:E,"Mallas")</f>
        <v>0</v>
      </c>
      <c r="F1027" s="2">
        <f>SUMIFS([1]Sheet1!D:D,[1]Sheet1!A:A,A1027,[1]Sheet1!E:E,"Materia Prima")</f>
        <v>0</v>
      </c>
      <c r="G1027" s="2">
        <f t="shared" ref="G1027:G1090" si="64">(D1027/2600)+(E1027/800)</f>
        <v>1.6125384615384617</v>
      </c>
      <c r="H1027">
        <f t="shared" ref="H1027:H1090" si="65">(IF(D1027&gt;0,1,0) + IF(E1027&gt;0,1,0) + IF(F1027&gt;0,1,0))</f>
        <v>1</v>
      </c>
      <c r="I1027" s="2">
        <f t="shared" ref="I1027:I1090" si="66">D1027/2600</f>
        <v>1.6125384615384617</v>
      </c>
      <c r="J1027" s="2">
        <f t="shared" ref="J1027:J1090" si="67">E1027/800</f>
        <v>0</v>
      </c>
    </row>
    <row r="1028" spans="1:10" x14ac:dyDescent="0.3">
      <c r="A1028">
        <v>1000018043</v>
      </c>
      <c r="B1028" s="1">
        <f>VLOOKUP(A1028,[1]Sheet1!A:B,2,FALSE)</f>
        <v>40585</v>
      </c>
      <c r="C1028" s="2">
        <v>0</v>
      </c>
      <c r="D1028" s="2">
        <f>SUMIFS([1]Sheet1!D:D,[1]Sheet1!A:A,A1028,[1]Sheet1!E:E,"Figurado")</f>
        <v>0</v>
      </c>
      <c r="E1028" s="2">
        <f>SUMIFS([1]Sheet1!D:D,[1]Sheet1!A:A,A1028,[1]Sheet1!E:E,"Mallas")</f>
        <v>1803</v>
      </c>
      <c r="F1028" s="2">
        <f>SUMIFS([1]Sheet1!D:D,[1]Sheet1!A:A,A1028,[1]Sheet1!E:E,"Materia Prima")</f>
        <v>0</v>
      </c>
      <c r="G1028" s="2">
        <f t="shared" si="64"/>
        <v>2.2537500000000001</v>
      </c>
      <c r="H1028">
        <f t="shared" si="65"/>
        <v>1</v>
      </c>
      <c r="I1028" s="2">
        <f t="shared" si="66"/>
        <v>0</v>
      </c>
      <c r="J1028" s="2">
        <f t="shared" si="67"/>
        <v>2.2537500000000001</v>
      </c>
    </row>
    <row r="1029" spans="1:10" x14ac:dyDescent="0.3">
      <c r="A1029">
        <v>1000018044</v>
      </c>
      <c r="B1029" s="1">
        <f>VLOOKUP(A1029,[1]Sheet1!A:B,2,FALSE)</f>
        <v>40585</v>
      </c>
      <c r="C1029" s="2">
        <v>0</v>
      </c>
      <c r="D1029" s="2">
        <f>SUMIFS([1]Sheet1!D:D,[1]Sheet1!A:A,A1029,[1]Sheet1!E:E,"Figurado")</f>
        <v>0</v>
      </c>
      <c r="E1029" s="2">
        <f>SUMIFS([1]Sheet1!D:D,[1]Sheet1!A:A,A1029,[1]Sheet1!E:E,"Mallas")</f>
        <v>12049.8</v>
      </c>
      <c r="F1029" s="2">
        <f>SUMIFS([1]Sheet1!D:D,[1]Sheet1!A:A,A1029,[1]Sheet1!E:E,"Materia Prima")</f>
        <v>0</v>
      </c>
      <c r="G1029" s="2">
        <f t="shared" si="64"/>
        <v>15.062249999999999</v>
      </c>
      <c r="H1029">
        <f t="shared" si="65"/>
        <v>1</v>
      </c>
      <c r="I1029" s="2">
        <f t="shared" si="66"/>
        <v>0</v>
      </c>
      <c r="J1029" s="2">
        <f t="shared" si="67"/>
        <v>15.062249999999999</v>
      </c>
    </row>
    <row r="1030" spans="1:10" x14ac:dyDescent="0.3">
      <c r="A1030">
        <v>1000018045</v>
      </c>
      <c r="B1030" s="1">
        <f>VLOOKUP(A1030,[1]Sheet1!A:B,2,FALSE)</f>
        <v>40585</v>
      </c>
      <c r="C1030" s="2">
        <v>0</v>
      </c>
      <c r="D1030" s="2">
        <f>SUMIFS([1]Sheet1!D:D,[1]Sheet1!A:A,A1030,[1]Sheet1!E:E,"Figurado")</f>
        <v>6128.5</v>
      </c>
      <c r="E1030" s="2">
        <f>SUMIFS([1]Sheet1!D:D,[1]Sheet1!A:A,A1030,[1]Sheet1!E:E,"Mallas")</f>
        <v>0</v>
      </c>
      <c r="F1030" s="2">
        <f>SUMIFS([1]Sheet1!D:D,[1]Sheet1!A:A,A1030,[1]Sheet1!E:E,"Materia Prima")</f>
        <v>26.9</v>
      </c>
      <c r="G1030" s="2">
        <f t="shared" si="64"/>
        <v>2.3571153846153847</v>
      </c>
      <c r="H1030">
        <f t="shared" si="65"/>
        <v>2</v>
      </c>
      <c r="I1030" s="2">
        <f t="shared" si="66"/>
        <v>2.3571153846153847</v>
      </c>
      <c r="J1030" s="2">
        <f t="shared" si="67"/>
        <v>0</v>
      </c>
    </row>
    <row r="1031" spans="1:10" x14ac:dyDescent="0.3">
      <c r="A1031">
        <v>1000018046</v>
      </c>
      <c r="B1031" s="1">
        <f>VLOOKUP(A1031,[1]Sheet1!A:B,2,FALSE)</f>
        <v>40585</v>
      </c>
      <c r="C1031" s="2">
        <v>0</v>
      </c>
      <c r="D1031" s="2">
        <f>SUMIFS([1]Sheet1!D:D,[1]Sheet1!A:A,A1031,[1]Sheet1!E:E,"Figurado")</f>
        <v>995.1</v>
      </c>
      <c r="E1031" s="2">
        <f>SUMIFS([1]Sheet1!D:D,[1]Sheet1!A:A,A1031,[1]Sheet1!E:E,"Mallas")</f>
        <v>0</v>
      </c>
      <c r="F1031" s="2">
        <f>SUMIFS([1]Sheet1!D:D,[1]Sheet1!A:A,A1031,[1]Sheet1!E:E,"Materia Prima")</f>
        <v>0</v>
      </c>
      <c r="G1031" s="2">
        <f t="shared" si="64"/>
        <v>0.38273076923076926</v>
      </c>
      <c r="H1031">
        <f t="shared" si="65"/>
        <v>1</v>
      </c>
      <c r="I1031" s="2">
        <f t="shared" si="66"/>
        <v>0.38273076923076926</v>
      </c>
      <c r="J1031" s="2">
        <f t="shared" si="67"/>
        <v>0</v>
      </c>
    </row>
    <row r="1032" spans="1:10" x14ac:dyDescent="0.3">
      <c r="A1032">
        <v>1000018047</v>
      </c>
      <c r="B1032" s="1">
        <f>VLOOKUP(A1032,[1]Sheet1!A:B,2,FALSE)</f>
        <v>40585</v>
      </c>
      <c r="C1032" s="2">
        <v>0</v>
      </c>
      <c r="D1032" s="2">
        <f>SUMIFS([1]Sheet1!D:D,[1]Sheet1!A:A,A1032,[1]Sheet1!E:E,"Figurado")</f>
        <v>1276.5999999999999</v>
      </c>
      <c r="E1032" s="2">
        <f>SUMIFS([1]Sheet1!D:D,[1]Sheet1!A:A,A1032,[1]Sheet1!E:E,"Mallas")</f>
        <v>0</v>
      </c>
      <c r="F1032" s="2">
        <f>SUMIFS([1]Sheet1!D:D,[1]Sheet1!A:A,A1032,[1]Sheet1!E:E,"Materia Prima")</f>
        <v>0</v>
      </c>
      <c r="G1032" s="2">
        <f t="shared" si="64"/>
        <v>0.49099999999999999</v>
      </c>
      <c r="H1032">
        <f t="shared" si="65"/>
        <v>1</v>
      </c>
      <c r="I1032" s="2">
        <f t="shared" si="66"/>
        <v>0.49099999999999999</v>
      </c>
      <c r="J1032" s="2">
        <f t="shared" si="67"/>
        <v>0</v>
      </c>
    </row>
    <row r="1033" spans="1:10" x14ac:dyDescent="0.3">
      <c r="A1033">
        <v>1000018048</v>
      </c>
      <c r="B1033" s="1">
        <f>VLOOKUP(A1033,[1]Sheet1!A:B,2,FALSE)</f>
        <v>40585</v>
      </c>
      <c r="C1033" s="2">
        <v>0</v>
      </c>
      <c r="D1033" s="2">
        <f>SUMIFS([1]Sheet1!D:D,[1]Sheet1!A:A,A1033,[1]Sheet1!E:E,"Figurado")</f>
        <v>1222.2</v>
      </c>
      <c r="E1033" s="2">
        <f>SUMIFS([1]Sheet1!D:D,[1]Sheet1!A:A,A1033,[1]Sheet1!E:E,"Mallas")</f>
        <v>0</v>
      </c>
      <c r="F1033" s="2">
        <f>SUMIFS([1]Sheet1!D:D,[1]Sheet1!A:A,A1033,[1]Sheet1!E:E,"Materia Prima")</f>
        <v>0</v>
      </c>
      <c r="G1033" s="2">
        <f t="shared" si="64"/>
        <v>0.47007692307692311</v>
      </c>
      <c r="H1033">
        <f t="shared" si="65"/>
        <v>1</v>
      </c>
      <c r="I1033" s="2">
        <f t="shared" si="66"/>
        <v>0.47007692307692311</v>
      </c>
      <c r="J1033" s="2">
        <f t="shared" si="67"/>
        <v>0</v>
      </c>
    </row>
    <row r="1034" spans="1:10" x14ac:dyDescent="0.3">
      <c r="A1034">
        <v>1000018049</v>
      </c>
      <c r="B1034" s="1">
        <f>VLOOKUP(A1034,[1]Sheet1!A:B,2,FALSE)</f>
        <v>40585</v>
      </c>
      <c r="C1034" s="2">
        <v>0</v>
      </c>
      <c r="D1034" s="2">
        <f>SUMIFS([1]Sheet1!D:D,[1]Sheet1!A:A,A1034,[1]Sheet1!E:E,"Figurado")</f>
        <v>7408.7</v>
      </c>
      <c r="E1034" s="2">
        <f>SUMIFS([1]Sheet1!D:D,[1]Sheet1!A:A,A1034,[1]Sheet1!E:E,"Mallas")</f>
        <v>0</v>
      </c>
      <c r="F1034" s="2">
        <f>SUMIFS([1]Sheet1!D:D,[1]Sheet1!A:A,A1034,[1]Sheet1!E:E,"Materia Prima")</f>
        <v>0</v>
      </c>
      <c r="G1034" s="2">
        <f t="shared" si="64"/>
        <v>2.8494999999999999</v>
      </c>
      <c r="H1034">
        <f t="shared" si="65"/>
        <v>1</v>
      </c>
      <c r="I1034" s="2">
        <f t="shared" si="66"/>
        <v>2.8494999999999999</v>
      </c>
      <c r="J1034" s="2">
        <f t="shared" si="67"/>
        <v>0</v>
      </c>
    </row>
    <row r="1035" spans="1:10" x14ac:dyDescent="0.3">
      <c r="A1035">
        <v>1000018051</v>
      </c>
      <c r="B1035" s="1">
        <f>VLOOKUP(A1035,[1]Sheet1!A:B,2,FALSE)</f>
        <v>40585</v>
      </c>
      <c r="C1035" s="2">
        <v>0</v>
      </c>
      <c r="D1035" s="2">
        <f>SUMIFS([1]Sheet1!D:D,[1]Sheet1!A:A,A1035,[1]Sheet1!E:E,"Figurado")</f>
        <v>4890.5</v>
      </c>
      <c r="E1035" s="2">
        <f>SUMIFS([1]Sheet1!D:D,[1]Sheet1!A:A,A1035,[1]Sheet1!E:E,"Mallas")</f>
        <v>0</v>
      </c>
      <c r="F1035" s="2">
        <f>SUMIFS([1]Sheet1!D:D,[1]Sheet1!A:A,A1035,[1]Sheet1!E:E,"Materia Prima")</f>
        <v>806.4</v>
      </c>
      <c r="G1035" s="2">
        <f t="shared" si="64"/>
        <v>1.8809615384615384</v>
      </c>
      <c r="H1035">
        <f t="shared" si="65"/>
        <v>2</v>
      </c>
      <c r="I1035" s="2">
        <f t="shared" si="66"/>
        <v>1.8809615384615384</v>
      </c>
      <c r="J1035" s="2">
        <f t="shared" si="67"/>
        <v>0</v>
      </c>
    </row>
    <row r="1036" spans="1:10" x14ac:dyDescent="0.3">
      <c r="A1036">
        <v>1000018052</v>
      </c>
      <c r="B1036" s="1">
        <f>VLOOKUP(A1036,[1]Sheet1!A:B,2,FALSE)</f>
        <v>40585</v>
      </c>
      <c r="C1036" s="2">
        <v>0</v>
      </c>
      <c r="D1036" s="2">
        <f>SUMIFS([1]Sheet1!D:D,[1]Sheet1!A:A,A1036,[1]Sheet1!E:E,"Figurado")</f>
        <v>11267.8</v>
      </c>
      <c r="E1036" s="2">
        <f>SUMIFS([1]Sheet1!D:D,[1]Sheet1!A:A,A1036,[1]Sheet1!E:E,"Mallas")</f>
        <v>0</v>
      </c>
      <c r="F1036" s="2">
        <f>SUMIFS([1]Sheet1!D:D,[1]Sheet1!A:A,A1036,[1]Sheet1!E:E,"Materia Prima")</f>
        <v>108</v>
      </c>
      <c r="G1036" s="2">
        <f t="shared" si="64"/>
        <v>4.3337692307692306</v>
      </c>
      <c r="H1036">
        <f t="shared" si="65"/>
        <v>2</v>
      </c>
      <c r="I1036" s="2">
        <f t="shared" si="66"/>
        <v>4.3337692307692306</v>
      </c>
      <c r="J1036" s="2">
        <f t="shared" si="67"/>
        <v>0</v>
      </c>
    </row>
    <row r="1037" spans="1:10" x14ac:dyDescent="0.3">
      <c r="A1037">
        <v>1000018053</v>
      </c>
      <c r="B1037" s="1">
        <f>VLOOKUP(A1037,[1]Sheet1!A:B,2,FALSE)</f>
        <v>40585</v>
      </c>
      <c r="C1037" s="2">
        <v>0</v>
      </c>
      <c r="D1037" s="2">
        <f>SUMIFS([1]Sheet1!D:D,[1]Sheet1!A:A,A1037,[1]Sheet1!E:E,"Figurado")</f>
        <v>13319.6</v>
      </c>
      <c r="E1037" s="2">
        <f>SUMIFS([1]Sheet1!D:D,[1]Sheet1!A:A,A1037,[1]Sheet1!E:E,"Mallas")</f>
        <v>0</v>
      </c>
      <c r="F1037" s="2">
        <f>SUMIFS([1]Sheet1!D:D,[1]Sheet1!A:A,A1037,[1]Sheet1!E:E,"Materia Prima")</f>
        <v>0</v>
      </c>
      <c r="G1037" s="2">
        <f t="shared" si="64"/>
        <v>5.1229230769230769</v>
      </c>
      <c r="H1037">
        <f t="shared" si="65"/>
        <v>1</v>
      </c>
      <c r="I1037" s="2">
        <f t="shared" si="66"/>
        <v>5.1229230769230769</v>
      </c>
      <c r="J1037" s="2">
        <f t="shared" si="67"/>
        <v>0</v>
      </c>
    </row>
    <row r="1038" spans="1:10" x14ac:dyDescent="0.3">
      <c r="A1038">
        <v>1000018055</v>
      </c>
      <c r="B1038" s="1">
        <f>VLOOKUP(A1038,[1]Sheet1!A:B,2,FALSE)</f>
        <v>40585</v>
      </c>
      <c r="C1038" s="2">
        <v>0</v>
      </c>
      <c r="D1038" s="2">
        <f>SUMIFS([1]Sheet1!D:D,[1]Sheet1!A:A,A1038,[1]Sheet1!E:E,"Figurado")</f>
        <v>14.8</v>
      </c>
      <c r="E1038" s="2">
        <f>SUMIFS([1]Sheet1!D:D,[1]Sheet1!A:A,A1038,[1]Sheet1!E:E,"Mallas")</f>
        <v>0</v>
      </c>
      <c r="F1038" s="2">
        <f>SUMIFS([1]Sheet1!D:D,[1]Sheet1!A:A,A1038,[1]Sheet1!E:E,"Materia Prima")</f>
        <v>0</v>
      </c>
      <c r="G1038" s="2">
        <f t="shared" si="64"/>
        <v>5.6923076923076927E-3</v>
      </c>
      <c r="H1038">
        <f t="shared" si="65"/>
        <v>1</v>
      </c>
      <c r="I1038" s="2">
        <f t="shared" si="66"/>
        <v>5.6923076923076927E-3</v>
      </c>
      <c r="J1038" s="2">
        <f t="shared" si="67"/>
        <v>0</v>
      </c>
    </row>
    <row r="1039" spans="1:10" x14ac:dyDescent="0.3">
      <c r="A1039">
        <v>1000018056</v>
      </c>
      <c r="B1039" s="1">
        <f>VLOOKUP(A1039,[1]Sheet1!A:B,2,FALSE)</f>
        <v>40585</v>
      </c>
      <c r="C1039" s="2">
        <v>0</v>
      </c>
      <c r="D1039" s="2">
        <f>SUMIFS([1]Sheet1!D:D,[1]Sheet1!A:A,A1039,[1]Sheet1!E:E,"Figurado")</f>
        <v>11417.7</v>
      </c>
      <c r="E1039" s="2">
        <f>SUMIFS([1]Sheet1!D:D,[1]Sheet1!A:A,A1039,[1]Sheet1!E:E,"Mallas")</f>
        <v>0</v>
      </c>
      <c r="F1039" s="2">
        <f>SUMIFS([1]Sheet1!D:D,[1]Sheet1!A:A,A1039,[1]Sheet1!E:E,"Materia Prima")</f>
        <v>0</v>
      </c>
      <c r="G1039" s="2">
        <f t="shared" si="64"/>
        <v>4.3914230769230773</v>
      </c>
      <c r="H1039">
        <f t="shared" si="65"/>
        <v>1</v>
      </c>
      <c r="I1039" s="2">
        <f t="shared" si="66"/>
        <v>4.3914230769230773</v>
      </c>
      <c r="J1039" s="2">
        <f t="shared" si="67"/>
        <v>0</v>
      </c>
    </row>
    <row r="1040" spans="1:10" x14ac:dyDescent="0.3">
      <c r="A1040">
        <v>1000018057</v>
      </c>
      <c r="B1040" s="1">
        <f>VLOOKUP(A1040,[1]Sheet1!A:B,2,FALSE)</f>
        <v>40585</v>
      </c>
      <c r="C1040" s="2">
        <v>0</v>
      </c>
      <c r="D1040" s="2">
        <f>SUMIFS([1]Sheet1!D:D,[1]Sheet1!A:A,A1040,[1]Sheet1!E:E,"Figurado")</f>
        <v>0</v>
      </c>
      <c r="E1040" s="2">
        <f>SUMIFS([1]Sheet1!D:D,[1]Sheet1!A:A,A1040,[1]Sheet1!E:E,"Mallas")</f>
        <v>0</v>
      </c>
      <c r="F1040" s="2">
        <f>SUMIFS([1]Sheet1!D:D,[1]Sheet1!A:A,A1040,[1]Sheet1!E:E,"Materia Prima")</f>
        <v>11713</v>
      </c>
      <c r="G1040" s="2">
        <f t="shared" si="64"/>
        <v>0</v>
      </c>
      <c r="H1040">
        <f t="shared" si="65"/>
        <v>1</v>
      </c>
      <c r="I1040" s="2">
        <f t="shared" si="66"/>
        <v>0</v>
      </c>
      <c r="J1040" s="2">
        <f t="shared" si="67"/>
        <v>0</v>
      </c>
    </row>
    <row r="1041" spans="1:10" x14ac:dyDescent="0.3">
      <c r="A1041">
        <v>1000018063</v>
      </c>
      <c r="B1041" s="1">
        <f>VLOOKUP(A1041,[1]Sheet1!A:B,2,FALSE)</f>
        <v>40585</v>
      </c>
      <c r="C1041" s="2">
        <v>0</v>
      </c>
      <c r="D1041" s="2">
        <f>SUMIFS([1]Sheet1!D:D,[1]Sheet1!A:A,A1041,[1]Sheet1!E:E,"Figurado")</f>
        <v>620.79999999999995</v>
      </c>
      <c r="E1041" s="2">
        <f>SUMIFS([1]Sheet1!D:D,[1]Sheet1!A:A,A1041,[1]Sheet1!E:E,"Mallas")</f>
        <v>0</v>
      </c>
      <c r="F1041" s="2">
        <f>SUMIFS([1]Sheet1!D:D,[1]Sheet1!A:A,A1041,[1]Sheet1!E:E,"Materia Prima")</f>
        <v>0</v>
      </c>
      <c r="G1041" s="2">
        <f t="shared" si="64"/>
        <v>0.23876923076923076</v>
      </c>
      <c r="H1041">
        <f t="shared" si="65"/>
        <v>1</v>
      </c>
      <c r="I1041" s="2">
        <f t="shared" si="66"/>
        <v>0.23876923076923076</v>
      </c>
      <c r="J1041" s="2">
        <f t="shared" si="67"/>
        <v>0</v>
      </c>
    </row>
    <row r="1042" spans="1:10" x14ac:dyDescent="0.3">
      <c r="A1042">
        <v>1000018064</v>
      </c>
      <c r="B1042" s="1">
        <f>VLOOKUP(A1042,[1]Sheet1!A:B,2,FALSE)</f>
        <v>40585</v>
      </c>
      <c r="C1042" s="2">
        <v>0</v>
      </c>
      <c r="D1042" s="2">
        <f>SUMIFS([1]Sheet1!D:D,[1]Sheet1!A:A,A1042,[1]Sheet1!E:E,"Figurado")</f>
        <v>653.20000000000005</v>
      </c>
      <c r="E1042" s="2">
        <f>SUMIFS([1]Sheet1!D:D,[1]Sheet1!A:A,A1042,[1]Sheet1!E:E,"Mallas")</f>
        <v>0</v>
      </c>
      <c r="F1042" s="2">
        <f>SUMIFS([1]Sheet1!D:D,[1]Sheet1!A:A,A1042,[1]Sheet1!E:E,"Materia Prima")</f>
        <v>0</v>
      </c>
      <c r="G1042" s="2">
        <f t="shared" si="64"/>
        <v>0.25123076923076926</v>
      </c>
      <c r="H1042">
        <f t="shared" si="65"/>
        <v>1</v>
      </c>
      <c r="I1042" s="2">
        <f t="shared" si="66"/>
        <v>0.25123076923076926</v>
      </c>
      <c r="J1042" s="2">
        <f t="shared" si="67"/>
        <v>0</v>
      </c>
    </row>
    <row r="1043" spans="1:10" x14ac:dyDescent="0.3">
      <c r="A1043">
        <v>1000018065</v>
      </c>
      <c r="B1043" s="1">
        <f>VLOOKUP(A1043,[1]Sheet1!A:B,2,FALSE)</f>
        <v>40585</v>
      </c>
      <c r="C1043" s="2">
        <v>0</v>
      </c>
      <c r="D1043" s="2">
        <f>SUMIFS([1]Sheet1!D:D,[1]Sheet1!A:A,A1043,[1]Sheet1!E:E,"Figurado")</f>
        <v>2187.1999999999998</v>
      </c>
      <c r="E1043" s="2">
        <f>SUMIFS([1]Sheet1!D:D,[1]Sheet1!A:A,A1043,[1]Sheet1!E:E,"Mallas")</f>
        <v>0</v>
      </c>
      <c r="F1043" s="2">
        <f>SUMIFS([1]Sheet1!D:D,[1]Sheet1!A:A,A1043,[1]Sheet1!E:E,"Materia Prima")</f>
        <v>0</v>
      </c>
      <c r="G1043" s="2">
        <f t="shared" si="64"/>
        <v>0.84123076923076912</v>
      </c>
      <c r="H1043">
        <f t="shared" si="65"/>
        <v>1</v>
      </c>
      <c r="I1043" s="2">
        <f t="shared" si="66"/>
        <v>0.84123076923076912</v>
      </c>
      <c r="J1043" s="2">
        <f t="shared" si="67"/>
        <v>0</v>
      </c>
    </row>
    <row r="1044" spans="1:10" x14ac:dyDescent="0.3">
      <c r="A1044">
        <v>1000018066</v>
      </c>
      <c r="B1044" s="1">
        <f>VLOOKUP(A1044,[1]Sheet1!A:B,2,FALSE)</f>
        <v>40585</v>
      </c>
      <c r="C1044" s="2">
        <v>0</v>
      </c>
      <c r="D1044" s="2">
        <f>SUMIFS([1]Sheet1!D:D,[1]Sheet1!A:A,A1044,[1]Sheet1!E:E,"Figurado")</f>
        <v>527.1</v>
      </c>
      <c r="E1044" s="2">
        <f>SUMIFS([1]Sheet1!D:D,[1]Sheet1!A:A,A1044,[1]Sheet1!E:E,"Mallas")</f>
        <v>0</v>
      </c>
      <c r="F1044" s="2">
        <f>SUMIFS([1]Sheet1!D:D,[1]Sheet1!A:A,A1044,[1]Sheet1!E:E,"Materia Prima")</f>
        <v>0</v>
      </c>
      <c r="G1044" s="2">
        <f t="shared" si="64"/>
        <v>0.20273076923076924</v>
      </c>
      <c r="H1044">
        <f t="shared" si="65"/>
        <v>1</v>
      </c>
      <c r="I1044" s="2">
        <f t="shared" si="66"/>
        <v>0.20273076923076924</v>
      </c>
      <c r="J1044" s="2">
        <f t="shared" si="67"/>
        <v>0</v>
      </c>
    </row>
    <row r="1045" spans="1:10" x14ac:dyDescent="0.3">
      <c r="A1045">
        <v>1000018067</v>
      </c>
      <c r="B1045" s="1">
        <f>VLOOKUP(A1045,[1]Sheet1!A:B,2,FALSE)</f>
        <v>40585</v>
      </c>
      <c r="C1045" s="2">
        <v>0</v>
      </c>
      <c r="D1045" s="2">
        <f>SUMIFS([1]Sheet1!D:D,[1]Sheet1!A:A,A1045,[1]Sheet1!E:E,"Figurado")</f>
        <v>950.5</v>
      </c>
      <c r="E1045" s="2">
        <f>SUMIFS([1]Sheet1!D:D,[1]Sheet1!A:A,A1045,[1]Sheet1!E:E,"Mallas")</f>
        <v>0</v>
      </c>
      <c r="F1045" s="2">
        <f>SUMIFS([1]Sheet1!D:D,[1]Sheet1!A:A,A1045,[1]Sheet1!E:E,"Materia Prima")</f>
        <v>0</v>
      </c>
      <c r="G1045" s="2">
        <f t="shared" si="64"/>
        <v>0.36557692307692308</v>
      </c>
      <c r="H1045">
        <f t="shared" si="65"/>
        <v>1</v>
      </c>
      <c r="I1045" s="2">
        <f t="shared" si="66"/>
        <v>0.36557692307692308</v>
      </c>
      <c r="J1045" s="2">
        <f t="shared" si="67"/>
        <v>0</v>
      </c>
    </row>
    <row r="1046" spans="1:10" x14ac:dyDescent="0.3">
      <c r="A1046">
        <v>1000018068</v>
      </c>
      <c r="B1046" s="1">
        <f>VLOOKUP(A1046,[1]Sheet1!A:B,2,FALSE)</f>
        <v>40585</v>
      </c>
      <c r="C1046" s="2">
        <v>0</v>
      </c>
      <c r="D1046" s="2">
        <f>SUMIFS([1]Sheet1!D:D,[1]Sheet1!A:A,A1046,[1]Sheet1!E:E,"Figurado")</f>
        <v>1598</v>
      </c>
      <c r="E1046" s="2">
        <f>SUMIFS([1]Sheet1!D:D,[1]Sheet1!A:A,A1046,[1]Sheet1!E:E,"Mallas")</f>
        <v>0</v>
      </c>
      <c r="F1046" s="2">
        <f>SUMIFS([1]Sheet1!D:D,[1]Sheet1!A:A,A1046,[1]Sheet1!E:E,"Materia Prima")</f>
        <v>0</v>
      </c>
      <c r="G1046" s="2">
        <f t="shared" si="64"/>
        <v>0.61461538461538456</v>
      </c>
      <c r="H1046">
        <f t="shared" si="65"/>
        <v>1</v>
      </c>
      <c r="I1046" s="2">
        <f t="shared" si="66"/>
        <v>0.61461538461538456</v>
      </c>
      <c r="J1046" s="2">
        <f t="shared" si="67"/>
        <v>0</v>
      </c>
    </row>
    <row r="1047" spans="1:10" x14ac:dyDescent="0.3">
      <c r="A1047">
        <v>1000018069</v>
      </c>
      <c r="B1047" s="1">
        <f>VLOOKUP(A1047,[1]Sheet1!A:B,2,FALSE)</f>
        <v>40585</v>
      </c>
      <c r="C1047" s="2">
        <v>0</v>
      </c>
      <c r="D1047" s="2">
        <f>SUMIFS([1]Sheet1!D:D,[1]Sheet1!A:A,A1047,[1]Sheet1!E:E,"Figurado")</f>
        <v>1601.4</v>
      </c>
      <c r="E1047" s="2">
        <f>SUMIFS([1]Sheet1!D:D,[1]Sheet1!A:A,A1047,[1]Sheet1!E:E,"Mallas")</f>
        <v>0</v>
      </c>
      <c r="F1047" s="2">
        <f>SUMIFS([1]Sheet1!D:D,[1]Sheet1!A:A,A1047,[1]Sheet1!E:E,"Materia Prima")</f>
        <v>0</v>
      </c>
      <c r="G1047" s="2">
        <f t="shared" si="64"/>
        <v>0.61592307692307691</v>
      </c>
      <c r="H1047">
        <f t="shared" si="65"/>
        <v>1</v>
      </c>
      <c r="I1047" s="2">
        <f t="shared" si="66"/>
        <v>0.61592307692307691</v>
      </c>
      <c r="J1047" s="2">
        <f t="shared" si="67"/>
        <v>0</v>
      </c>
    </row>
    <row r="1048" spans="1:10" x14ac:dyDescent="0.3">
      <c r="A1048">
        <v>1000018070</v>
      </c>
      <c r="B1048" s="1">
        <f>VLOOKUP(A1048,[1]Sheet1!A:B,2,FALSE)</f>
        <v>40585</v>
      </c>
      <c r="C1048" s="2">
        <v>0</v>
      </c>
      <c r="D1048" s="2">
        <f>SUMIFS([1]Sheet1!D:D,[1]Sheet1!A:A,A1048,[1]Sheet1!E:E,"Figurado")</f>
        <v>620.79999999999995</v>
      </c>
      <c r="E1048" s="2">
        <f>SUMIFS([1]Sheet1!D:D,[1]Sheet1!A:A,A1048,[1]Sheet1!E:E,"Mallas")</f>
        <v>0</v>
      </c>
      <c r="F1048" s="2">
        <f>SUMIFS([1]Sheet1!D:D,[1]Sheet1!A:A,A1048,[1]Sheet1!E:E,"Materia Prima")</f>
        <v>0</v>
      </c>
      <c r="G1048" s="2">
        <f t="shared" si="64"/>
        <v>0.23876923076923076</v>
      </c>
      <c r="H1048">
        <f t="shared" si="65"/>
        <v>1</v>
      </c>
      <c r="I1048" s="2">
        <f t="shared" si="66"/>
        <v>0.23876923076923076</v>
      </c>
      <c r="J1048" s="2">
        <f t="shared" si="67"/>
        <v>0</v>
      </c>
    </row>
    <row r="1049" spans="1:10" x14ac:dyDescent="0.3">
      <c r="A1049">
        <v>1000018071</v>
      </c>
      <c r="B1049" s="1">
        <f>VLOOKUP(A1049,[1]Sheet1!A:B,2,FALSE)</f>
        <v>40585</v>
      </c>
      <c r="C1049" s="2">
        <v>0</v>
      </c>
      <c r="D1049" s="2">
        <f>SUMIFS([1]Sheet1!D:D,[1]Sheet1!A:A,A1049,[1]Sheet1!E:E,"Figurado")</f>
        <v>851</v>
      </c>
      <c r="E1049" s="2">
        <f>SUMIFS([1]Sheet1!D:D,[1]Sheet1!A:A,A1049,[1]Sheet1!E:E,"Mallas")</f>
        <v>0</v>
      </c>
      <c r="F1049" s="2">
        <f>SUMIFS([1]Sheet1!D:D,[1]Sheet1!A:A,A1049,[1]Sheet1!E:E,"Materia Prima")</f>
        <v>0</v>
      </c>
      <c r="G1049" s="2">
        <f t="shared" si="64"/>
        <v>0.3273076923076923</v>
      </c>
      <c r="H1049">
        <f t="shared" si="65"/>
        <v>1</v>
      </c>
      <c r="I1049" s="2">
        <f t="shared" si="66"/>
        <v>0.3273076923076923</v>
      </c>
      <c r="J1049" s="2">
        <f t="shared" si="67"/>
        <v>0</v>
      </c>
    </row>
    <row r="1050" spans="1:10" x14ac:dyDescent="0.3">
      <c r="A1050">
        <v>1000018072</v>
      </c>
      <c r="B1050" s="1">
        <f>VLOOKUP(A1050,[1]Sheet1!A:B,2,FALSE)</f>
        <v>40585</v>
      </c>
      <c r="C1050" s="2">
        <v>0</v>
      </c>
      <c r="D1050" s="2">
        <f>SUMIFS([1]Sheet1!D:D,[1]Sheet1!A:A,A1050,[1]Sheet1!E:E,"Figurado")</f>
        <v>1328.1999999999998</v>
      </c>
      <c r="E1050" s="2">
        <f>SUMIFS([1]Sheet1!D:D,[1]Sheet1!A:A,A1050,[1]Sheet1!E:E,"Mallas")</f>
        <v>0</v>
      </c>
      <c r="F1050" s="2">
        <f>SUMIFS([1]Sheet1!D:D,[1]Sheet1!A:A,A1050,[1]Sheet1!E:E,"Materia Prima")</f>
        <v>0</v>
      </c>
      <c r="G1050" s="2">
        <f t="shared" si="64"/>
        <v>0.51084615384615373</v>
      </c>
      <c r="H1050">
        <f t="shared" si="65"/>
        <v>1</v>
      </c>
      <c r="I1050" s="2">
        <f t="shared" si="66"/>
        <v>0.51084615384615373</v>
      </c>
      <c r="J1050" s="2">
        <f t="shared" si="67"/>
        <v>0</v>
      </c>
    </row>
    <row r="1051" spans="1:10" x14ac:dyDescent="0.3">
      <c r="A1051">
        <v>1000018073</v>
      </c>
      <c r="B1051" s="1">
        <f>VLOOKUP(A1051,[1]Sheet1!A:B,2,FALSE)</f>
        <v>40585</v>
      </c>
      <c r="C1051" s="2">
        <v>0</v>
      </c>
      <c r="D1051" s="2">
        <f>SUMIFS([1]Sheet1!D:D,[1]Sheet1!A:A,A1051,[1]Sheet1!E:E,"Figurado")</f>
        <v>231.1</v>
      </c>
      <c r="E1051" s="2">
        <f>SUMIFS([1]Sheet1!D:D,[1]Sheet1!A:A,A1051,[1]Sheet1!E:E,"Mallas")</f>
        <v>0</v>
      </c>
      <c r="F1051" s="2">
        <f>SUMIFS([1]Sheet1!D:D,[1]Sheet1!A:A,A1051,[1]Sheet1!E:E,"Materia Prima")</f>
        <v>0</v>
      </c>
      <c r="G1051" s="2">
        <f t="shared" si="64"/>
        <v>8.8884615384615381E-2</v>
      </c>
      <c r="H1051">
        <f t="shared" si="65"/>
        <v>1</v>
      </c>
      <c r="I1051" s="2">
        <f t="shared" si="66"/>
        <v>8.8884615384615381E-2</v>
      </c>
      <c r="J1051" s="2">
        <f t="shared" si="67"/>
        <v>0</v>
      </c>
    </row>
    <row r="1052" spans="1:10" x14ac:dyDescent="0.3">
      <c r="A1052">
        <v>1000018074</v>
      </c>
      <c r="B1052" s="1">
        <f>VLOOKUP(A1052,[1]Sheet1!A:B,2,FALSE)</f>
        <v>40585</v>
      </c>
      <c r="C1052" s="2">
        <v>0</v>
      </c>
      <c r="D1052" s="2">
        <f>SUMIFS([1]Sheet1!D:D,[1]Sheet1!A:A,A1052,[1]Sheet1!E:E,"Figurado")</f>
        <v>939.8</v>
      </c>
      <c r="E1052" s="2">
        <f>SUMIFS([1]Sheet1!D:D,[1]Sheet1!A:A,A1052,[1]Sheet1!E:E,"Mallas")</f>
        <v>0</v>
      </c>
      <c r="F1052" s="2">
        <f>SUMIFS([1]Sheet1!D:D,[1]Sheet1!A:A,A1052,[1]Sheet1!E:E,"Materia Prima")</f>
        <v>0</v>
      </c>
      <c r="G1052" s="2">
        <f t="shared" si="64"/>
        <v>0.36146153846153845</v>
      </c>
      <c r="H1052">
        <f t="shared" si="65"/>
        <v>1</v>
      </c>
      <c r="I1052" s="2">
        <f t="shared" si="66"/>
        <v>0.36146153846153845</v>
      </c>
      <c r="J1052" s="2">
        <f t="shared" si="67"/>
        <v>0</v>
      </c>
    </row>
    <row r="1053" spans="1:10" x14ac:dyDescent="0.3">
      <c r="A1053">
        <v>1000018075</v>
      </c>
      <c r="B1053" s="1">
        <f>VLOOKUP(A1053,[1]Sheet1!A:B,2,FALSE)</f>
        <v>40586</v>
      </c>
      <c r="C1053" s="2">
        <v>0</v>
      </c>
      <c r="D1053" s="2">
        <f>SUMIFS([1]Sheet1!D:D,[1]Sheet1!A:A,A1053,[1]Sheet1!E:E,"Figurado")</f>
        <v>9781.6</v>
      </c>
      <c r="E1053" s="2">
        <f>SUMIFS([1]Sheet1!D:D,[1]Sheet1!A:A,A1053,[1]Sheet1!E:E,"Mallas")</f>
        <v>0</v>
      </c>
      <c r="F1053" s="2">
        <f>SUMIFS([1]Sheet1!D:D,[1]Sheet1!A:A,A1053,[1]Sheet1!E:E,"Materia Prima")</f>
        <v>0</v>
      </c>
      <c r="G1053" s="2">
        <f t="shared" si="64"/>
        <v>3.7621538461538462</v>
      </c>
      <c r="H1053">
        <f t="shared" si="65"/>
        <v>1</v>
      </c>
      <c r="I1053" s="2">
        <f t="shared" si="66"/>
        <v>3.7621538461538462</v>
      </c>
      <c r="J1053" s="2">
        <f t="shared" si="67"/>
        <v>0</v>
      </c>
    </row>
    <row r="1054" spans="1:10" x14ac:dyDescent="0.3">
      <c r="A1054">
        <v>1000018076</v>
      </c>
      <c r="B1054" s="1">
        <f>VLOOKUP(A1054,[1]Sheet1!A:B,2,FALSE)</f>
        <v>40586</v>
      </c>
      <c r="C1054" s="2">
        <v>0</v>
      </c>
      <c r="D1054" s="2">
        <f>SUMIFS([1]Sheet1!D:D,[1]Sheet1!A:A,A1054,[1]Sheet1!E:E,"Figurado")</f>
        <v>8600.9</v>
      </c>
      <c r="E1054" s="2">
        <f>SUMIFS([1]Sheet1!D:D,[1]Sheet1!A:A,A1054,[1]Sheet1!E:E,"Mallas")</f>
        <v>0</v>
      </c>
      <c r="F1054" s="2">
        <f>SUMIFS([1]Sheet1!D:D,[1]Sheet1!A:A,A1054,[1]Sheet1!E:E,"Materia Prima")</f>
        <v>0</v>
      </c>
      <c r="G1054" s="2">
        <f t="shared" si="64"/>
        <v>3.3080384615384615</v>
      </c>
      <c r="H1054">
        <f t="shared" si="65"/>
        <v>1</v>
      </c>
      <c r="I1054" s="2">
        <f t="shared" si="66"/>
        <v>3.3080384615384615</v>
      </c>
      <c r="J1054" s="2">
        <f t="shared" si="67"/>
        <v>0</v>
      </c>
    </row>
    <row r="1055" spans="1:10" x14ac:dyDescent="0.3">
      <c r="A1055">
        <v>1000018077</v>
      </c>
      <c r="B1055" s="1">
        <f>VLOOKUP(A1055,[1]Sheet1!A:B,2,FALSE)</f>
        <v>40586</v>
      </c>
      <c r="C1055" s="2">
        <v>0</v>
      </c>
      <c r="D1055" s="2">
        <f>SUMIFS([1]Sheet1!D:D,[1]Sheet1!A:A,A1055,[1]Sheet1!E:E,"Figurado")</f>
        <v>12220.4</v>
      </c>
      <c r="E1055" s="2">
        <f>SUMIFS([1]Sheet1!D:D,[1]Sheet1!A:A,A1055,[1]Sheet1!E:E,"Mallas")</f>
        <v>0</v>
      </c>
      <c r="F1055" s="2">
        <f>SUMIFS([1]Sheet1!D:D,[1]Sheet1!A:A,A1055,[1]Sheet1!E:E,"Materia Prima")</f>
        <v>0</v>
      </c>
      <c r="G1055" s="2">
        <f t="shared" si="64"/>
        <v>4.7001538461538459</v>
      </c>
      <c r="H1055">
        <f t="shared" si="65"/>
        <v>1</v>
      </c>
      <c r="I1055" s="2">
        <f t="shared" si="66"/>
        <v>4.7001538461538459</v>
      </c>
      <c r="J1055" s="2">
        <f t="shared" si="67"/>
        <v>0</v>
      </c>
    </row>
    <row r="1056" spans="1:10" x14ac:dyDescent="0.3">
      <c r="A1056">
        <v>1000018078</v>
      </c>
      <c r="B1056" s="1">
        <f>VLOOKUP(A1056,[1]Sheet1!A:B,2,FALSE)</f>
        <v>40586</v>
      </c>
      <c r="C1056" s="2">
        <v>0</v>
      </c>
      <c r="D1056" s="2">
        <f>SUMIFS([1]Sheet1!D:D,[1]Sheet1!A:A,A1056,[1]Sheet1!E:E,"Figurado")</f>
        <v>10552.8</v>
      </c>
      <c r="E1056" s="2">
        <f>SUMIFS([1]Sheet1!D:D,[1]Sheet1!A:A,A1056,[1]Sheet1!E:E,"Mallas")</f>
        <v>0</v>
      </c>
      <c r="F1056" s="2">
        <f>SUMIFS([1]Sheet1!D:D,[1]Sheet1!A:A,A1056,[1]Sheet1!E:E,"Materia Prima")</f>
        <v>0</v>
      </c>
      <c r="G1056" s="2">
        <f t="shared" si="64"/>
        <v>4.0587692307692302</v>
      </c>
      <c r="H1056">
        <f t="shared" si="65"/>
        <v>1</v>
      </c>
      <c r="I1056" s="2">
        <f t="shared" si="66"/>
        <v>4.0587692307692302</v>
      </c>
      <c r="J1056" s="2">
        <f t="shared" si="67"/>
        <v>0</v>
      </c>
    </row>
    <row r="1057" spans="1:10" x14ac:dyDescent="0.3">
      <c r="A1057">
        <v>1000018079</v>
      </c>
      <c r="B1057" s="1">
        <f>VLOOKUP(A1057,[1]Sheet1!A:B,2,FALSE)</f>
        <v>40586</v>
      </c>
      <c r="C1057" s="2">
        <v>0</v>
      </c>
      <c r="D1057" s="2">
        <f>SUMIFS([1]Sheet1!D:D,[1]Sheet1!A:A,A1057,[1]Sheet1!E:E,"Figurado")</f>
        <v>12157.9</v>
      </c>
      <c r="E1057" s="2">
        <f>SUMIFS([1]Sheet1!D:D,[1]Sheet1!A:A,A1057,[1]Sheet1!E:E,"Mallas")</f>
        <v>0</v>
      </c>
      <c r="F1057" s="2">
        <f>SUMIFS([1]Sheet1!D:D,[1]Sheet1!A:A,A1057,[1]Sheet1!E:E,"Materia Prima")</f>
        <v>0</v>
      </c>
      <c r="G1057" s="2">
        <f t="shared" si="64"/>
        <v>4.6761153846153842</v>
      </c>
      <c r="H1057">
        <f t="shared" si="65"/>
        <v>1</v>
      </c>
      <c r="I1057" s="2">
        <f t="shared" si="66"/>
        <v>4.6761153846153842</v>
      </c>
      <c r="J1057" s="2">
        <f t="shared" si="67"/>
        <v>0</v>
      </c>
    </row>
    <row r="1058" spans="1:10" x14ac:dyDescent="0.3">
      <c r="A1058">
        <v>1000018080</v>
      </c>
      <c r="B1058" s="1">
        <f>VLOOKUP(A1058,[1]Sheet1!A:B,2,FALSE)</f>
        <v>40586</v>
      </c>
      <c r="C1058" s="2">
        <v>0</v>
      </c>
      <c r="D1058" s="2">
        <f>SUMIFS([1]Sheet1!D:D,[1]Sheet1!A:A,A1058,[1]Sheet1!E:E,"Figurado")</f>
        <v>16</v>
      </c>
      <c r="E1058" s="2">
        <f>SUMIFS([1]Sheet1!D:D,[1]Sheet1!A:A,A1058,[1]Sheet1!E:E,"Mallas")</f>
        <v>0</v>
      </c>
      <c r="F1058" s="2">
        <f>SUMIFS([1]Sheet1!D:D,[1]Sheet1!A:A,A1058,[1]Sheet1!E:E,"Materia Prima")</f>
        <v>0</v>
      </c>
      <c r="G1058" s="2">
        <f t="shared" si="64"/>
        <v>6.1538461538461538E-3</v>
      </c>
      <c r="H1058">
        <f t="shared" si="65"/>
        <v>1</v>
      </c>
      <c r="I1058" s="2">
        <f t="shared" si="66"/>
        <v>6.1538461538461538E-3</v>
      </c>
      <c r="J1058" s="2">
        <f t="shared" si="67"/>
        <v>0</v>
      </c>
    </row>
    <row r="1059" spans="1:10" x14ac:dyDescent="0.3">
      <c r="A1059">
        <v>1000018081</v>
      </c>
      <c r="B1059" s="1">
        <f>VLOOKUP(A1059,[1]Sheet1!A:B,2,FALSE)</f>
        <v>40586</v>
      </c>
      <c r="C1059" s="2">
        <v>0</v>
      </c>
      <c r="D1059" s="2">
        <f>SUMIFS([1]Sheet1!D:D,[1]Sheet1!A:A,A1059,[1]Sheet1!E:E,"Figurado")</f>
        <v>1075</v>
      </c>
      <c r="E1059" s="2">
        <f>SUMIFS([1]Sheet1!D:D,[1]Sheet1!A:A,A1059,[1]Sheet1!E:E,"Mallas")</f>
        <v>0</v>
      </c>
      <c r="F1059" s="2">
        <f>SUMIFS([1]Sheet1!D:D,[1]Sheet1!A:A,A1059,[1]Sheet1!E:E,"Materia Prima")</f>
        <v>0</v>
      </c>
      <c r="G1059" s="2">
        <f t="shared" si="64"/>
        <v>0.41346153846153844</v>
      </c>
      <c r="H1059">
        <f t="shared" si="65"/>
        <v>1</v>
      </c>
      <c r="I1059" s="2">
        <f t="shared" si="66"/>
        <v>0.41346153846153844</v>
      </c>
      <c r="J1059" s="2">
        <f t="shared" si="67"/>
        <v>0</v>
      </c>
    </row>
    <row r="1060" spans="1:10" x14ac:dyDescent="0.3">
      <c r="A1060">
        <v>1000018082</v>
      </c>
      <c r="B1060" s="1">
        <f>VLOOKUP(A1060,[1]Sheet1!A:B,2,FALSE)</f>
        <v>40586</v>
      </c>
      <c r="C1060" s="2">
        <v>0</v>
      </c>
      <c r="D1060" s="2">
        <f>SUMIFS([1]Sheet1!D:D,[1]Sheet1!A:A,A1060,[1]Sheet1!E:E,"Figurado")</f>
        <v>0</v>
      </c>
      <c r="E1060" s="2">
        <f>SUMIFS([1]Sheet1!D:D,[1]Sheet1!A:A,A1060,[1]Sheet1!E:E,"Mallas")</f>
        <v>0</v>
      </c>
      <c r="F1060" s="2">
        <f>SUMIFS([1]Sheet1!D:D,[1]Sheet1!A:A,A1060,[1]Sheet1!E:E,"Materia Prima")</f>
        <v>3000</v>
      </c>
      <c r="G1060" s="2">
        <f t="shared" si="64"/>
        <v>0</v>
      </c>
      <c r="H1060">
        <f t="shared" si="65"/>
        <v>1</v>
      </c>
      <c r="I1060" s="2">
        <f t="shared" si="66"/>
        <v>0</v>
      </c>
      <c r="J1060" s="2">
        <f t="shared" si="67"/>
        <v>0</v>
      </c>
    </row>
    <row r="1061" spans="1:10" x14ac:dyDescent="0.3">
      <c r="A1061">
        <v>1000018093</v>
      </c>
      <c r="B1061" s="1">
        <f>VLOOKUP(A1061,[1]Sheet1!A:B,2,FALSE)</f>
        <v>40588</v>
      </c>
      <c r="C1061" s="2">
        <v>0</v>
      </c>
      <c r="D1061" s="2">
        <f>SUMIFS([1]Sheet1!D:D,[1]Sheet1!A:A,A1061,[1]Sheet1!E:E,"Figurado")</f>
        <v>2869</v>
      </c>
      <c r="E1061" s="2">
        <f>SUMIFS([1]Sheet1!D:D,[1]Sheet1!A:A,A1061,[1]Sheet1!E:E,"Mallas")</f>
        <v>0</v>
      </c>
      <c r="F1061" s="2">
        <f>SUMIFS([1]Sheet1!D:D,[1]Sheet1!A:A,A1061,[1]Sheet1!E:E,"Materia Prima")</f>
        <v>0</v>
      </c>
      <c r="G1061" s="2">
        <f t="shared" si="64"/>
        <v>1.1034615384615385</v>
      </c>
      <c r="H1061">
        <f t="shared" si="65"/>
        <v>1</v>
      </c>
      <c r="I1061" s="2">
        <f t="shared" si="66"/>
        <v>1.1034615384615385</v>
      </c>
      <c r="J1061" s="2">
        <f t="shared" si="67"/>
        <v>0</v>
      </c>
    </row>
    <row r="1062" spans="1:10" x14ac:dyDescent="0.3">
      <c r="A1062">
        <v>1000018094</v>
      </c>
      <c r="B1062" s="1">
        <f>VLOOKUP(A1062,[1]Sheet1!A:B,2,FALSE)</f>
        <v>40588</v>
      </c>
      <c r="C1062" s="2">
        <v>0</v>
      </c>
      <c r="D1062" s="2">
        <f>SUMIFS([1]Sheet1!D:D,[1]Sheet1!A:A,A1062,[1]Sheet1!E:E,"Figurado")</f>
        <v>24.9</v>
      </c>
      <c r="E1062" s="2">
        <f>SUMIFS([1]Sheet1!D:D,[1]Sheet1!A:A,A1062,[1]Sheet1!E:E,"Mallas")</f>
        <v>0</v>
      </c>
      <c r="F1062" s="2">
        <f>SUMIFS([1]Sheet1!D:D,[1]Sheet1!A:A,A1062,[1]Sheet1!E:E,"Materia Prima")</f>
        <v>0</v>
      </c>
      <c r="G1062" s="2">
        <f t="shared" si="64"/>
        <v>9.5769230769230766E-3</v>
      </c>
      <c r="H1062">
        <f t="shared" si="65"/>
        <v>1</v>
      </c>
      <c r="I1062" s="2">
        <f t="shared" si="66"/>
        <v>9.5769230769230766E-3</v>
      </c>
      <c r="J1062" s="2">
        <f t="shared" si="67"/>
        <v>0</v>
      </c>
    </row>
    <row r="1063" spans="1:10" x14ac:dyDescent="0.3">
      <c r="A1063">
        <v>1000018096</v>
      </c>
      <c r="B1063" s="1">
        <f>VLOOKUP(A1063,[1]Sheet1!A:B,2,FALSE)</f>
        <v>40588</v>
      </c>
      <c r="C1063" s="2">
        <v>0</v>
      </c>
      <c r="D1063" s="2">
        <f>SUMIFS([1]Sheet1!D:D,[1]Sheet1!A:A,A1063,[1]Sheet1!E:E,"Figurado")</f>
        <v>9116.6</v>
      </c>
      <c r="E1063" s="2">
        <f>SUMIFS([1]Sheet1!D:D,[1]Sheet1!A:A,A1063,[1]Sheet1!E:E,"Mallas")</f>
        <v>0</v>
      </c>
      <c r="F1063" s="2">
        <f>SUMIFS([1]Sheet1!D:D,[1]Sheet1!A:A,A1063,[1]Sheet1!E:E,"Materia Prima")</f>
        <v>0</v>
      </c>
      <c r="G1063" s="2">
        <f t="shared" si="64"/>
        <v>3.5063846153846154</v>
      </c>
      <c r="H1063">
        <f t="shared" si="65"/>
        <v>1</v>
      </c>
      <c r="I1063" s="2">
        <f t="shared" si="66"/>
        <v>3.5063846153846154</v>
      </c>
      <c r="J1063" s="2">
        <f t="shared" si="67"/>
        <v>0</v>
      </c>
    </row>
    <row r="1064" spans="1:10" x14ac:dyDescent="0.3">
      <c r="A1064">
        <v>1000018100</v>
      </c>
      <c r="B1064" s="1">
        <f>VLOOKUP(A1064,[1]Sheet1!A:B,2,FALSE)</f>
        <v>40588</v>
      </c>
      <c r="C1064" s="2">
        <v>0</v>
      </c>
      <c r="D1064" s="2">
        <f>SUMIFS([1]Sheet1!D:D,[1]Sheet1!A:A,A1064,[1]Sheet1!E:E,"Figurado")</f>
        <v>9273.7000000000007</v>
      </c>
      <c r="E1064" s="2">
        <f>SUMIFS([1]Sheet1!D:D,[1]Sheet1!A:A,A1064,[1]Sheet1!E:E,"Mallas")</f>
        <v>0</v>
      </c>
      <c r="F1064" s="2">
        <f>SUMIFS([1]Sheet1!D:D,[1]Sheet1!A:A,A1064,[1]Sheet1!E:E,"Materia Prima")</f>
        <v>0</v>
      </c>
      <c r="G1064" s="2">
        <f t="shared" si="64"/>
        <v>3.5668076923076928</v>
      </c>
      <c r="H1064">
        <f t="shared" si="65"/>
        <v>1</v>
      </c>
      <c r="I1064" s="2">
        <f t="shared" si="66"/>
        <v>3.5668076923076928</v>
      </c>
      <c r="J1064" s="2">
        <f t="shared" si="67"/>
        <v>0</v>
      </c>
    </row>
    <row r="1065" spans="1:10" x14ac:dyDescent="0.3">
      <c r="A1065">
        <v>1000018133</v>
      </c>
      <c r="B1065" s="1">
        <f>VLOOKUP(A1065,[1]Sheet1!A:B,2,FALSE)</f>
        <v>40588</v>
      </c>
      <c r="C1065" s="2">
        <v>0</v>
      </c>
      <c r="D1065" s="2">
        <f>SUMIFS([1]Sheet1!D:D,[1]Sheet1!A:A,A1065,[1]Sheet1!E:E,"Figurado")</f>
        <v>11209.199999999999</v>
      </c>
      <c r="E1065" s="2">
        <f>SUMIFS([1]Sheet1!D:D,[1]Sheet1!A:A,A1065,[1]Sheet1!E:E,"Mallas")</f>
        <v>0</v>
      </c>
      <c r="F1065" s="2">
        <f>SUMIFS([1]Sheet1!D:D,[1]Sheet1!A:A,A1065,[1]Sheet1!E:E,"Materia Prima")</f>
        <v>0</v>
      </c>
      <c r="G1065" s="2">
        <f t="shared" si="64"/>
        <v>4.311230769230769</v>
      </c>
      <c r="H1065">
        <f t="shared" si="65"/>
        <v>1</v>
      </c>
      <c r="I1065" s="2">
        <f t="shared" si="66"/>
        <v>4.311230769230769</v>
      </c>
      <c r="J1065" s="2">
        <f t="shared" si="67"/>
        <v>0</v>
      </c>
    </row>
    <row r="1066" spans="1:10" x14ac:dyDescent="0.3">
      <c r="A1066">
        <v>1000017363</v>
      </c>
      <c r="B1066" s="1">
        <f>VLOOKUP(A1066,[1]Sheet1!A:B,2,FALSE)</f>
        <v>40563</v>
      </c>
      <c r="C1066" s="2">
        <v>0</v>
      </c>
      <c r="D1066" s="2">
        <f>SUMIFS([1]Sheet1!D:D,[1]Sheet1!A:A,A1066,[1]Sheet1!E:E,"Figurado")</f>
        <v>5005.2000000000007</v>
      </c>
      <c r="E1066" s="2">
        <f>SUMIFS([1]Sheet1!D:D,[1]Sheet1!A:A,A1066,[1]Sheet1!E:E,"Mallas")</f>
        <v>0</v>
      </c>
      <c r="F1066" s="2">
        <f>SUMIFS([1]Sheet1!D:D,[1]Sheet1!A:A,A1066,[1]Sheet1!E:E,"Materia Prima")</f>
        <v>0</v>
      </c>
      <c r="G1066" s="2">
        <f t="shared" si="64"/>
        <v>1.9250769230769234</v>
      </c>
      <c r="H1066">
        <f t="shared" si="65"/>
        <v>1</v>
      </c>
      <c r="I1066" s="2">
        <f t="shared" si="66"/>
        <v>1.9250769230769234</v>
      </c>
      <c r="J1066" s="2">
        <f t="shared" si="67"/>
        <v>0</v>
      </c>
    </row>
    <row r="1067" spans="1:10" x14ac:dyDescent="0.3">
      <c r="A1067">
        <v>1000018015</v>
      </c>
      <c r="B1067" s="1">
        <f>VLOOKUP(A1067,[1]Sheet1!A:B,2,FALSE)</f>
        <v>40584</v>
      </c>
      <c r="C1067" s="2">
        <v>0</v>
      </c>
      <c r="D1067" s="2">
        <f>SUMIFS([1]Sheet1!D:D,[1]Sheet1!A:A,A1067,[1]Sheet1!E:E,"Figurado")</f>
        <v>2286</v>
      </c>
      <c r="E1067" s="2">
        <f>SUMIFS([1]Sheet1!D:D,[1]Sheet1!A:A,A1067,[1]Sheet1!E:E,"Mallas")</f>
        <v>0</v>
      </c>
      <c r="F1067" s="2">
        <f>SUMIFS([1]Sheet1!D:D,[1]Sheet1!A:A,A1067,[1]Sheet1!E:E,"Materia Prima")</f>
        <v>69.7</v>
      </c>
      <c r="G1067" s="2">
        <f t="shared" si="64"/>
        <v>0.87923076923076926</v>
      </c>
      <c r="H1067">
        <f t="shared" si="65"/>
        <v>2</v>
      </c>
      <c r="I1067" s="2">
        <f t="shared" si="66"/>
        <v>0.87923076923076926</v>
      </c>
      <c r="J1067" s="2">
        <f t="shared" si="67"/>
        <v>0</v>
      </c>
    </row>
    <row r="1068" spans="1:10" x14ac:dyDescent="0.3">
      <c r="A1068">
        <v>1000018017</v>
      </c>
      <c r="B1068" s="1">
        <f>VLOOKUP(A1068,[1]Sheet1!A:B,2,FALSE)</f>
        <v>40584</v>
      </c>
      <c r="C1068" s="2">
        <v>0</v>
      </c>
      <c r="D1068" s="2">
        <f>SUMIFS([1]Sheet1!D:D,[1]Sheet1!A:A,A1068,[1]Sheet1!E:E,"Figurado")</f>
        <v>6296.2999999999993</v>
      </c>
      <c r="E1068" s="2">
        <f>SUMIFS([1]Sheet1!D:D,[1]Sheet1!A:A,A1068,[1]Sheet1!E:E,"Mallas")</f>
        <v>0</v>
      </c>
      <c r="F1068" s="2">
        <f>SUMIFS([1]Sheet1!D:D,[1]Sheet1!A:A,A1068,[1]Sheet1!E:E,"Materia Prima")</f>
        <v>160.30000000000001</v>
      </c>
      <c r="G1068" s="2">
        <f t="shared" si="64"/>
        <v>2.4216538461538457</v>
      </c>
      <c r="H1068">
        <f t="shared" si="65"/>
        <v>2</v>
      </c>
      <c r="I1068" s="2">
        <f t="shared" si="66"/>
        <v>2.4216538461538457</v>
      </c>
      <c r="J1068" s="2">
        <f t="shared" si="67"/>
        <v>0</v>
      </c>
    </row>
    <row r="1069" spans="1:10" x14ac:dyDescent="0.3">
      <c r="A1069">
        <v>1000018018</v>
      </c>
      <c r="B1069" s="1">
        <f>VLOOKUP(A1069,[1]Sheet1!A:B,2,FALSE)</f>
        <v>40584</v>
      </c>
      <c r="C1069" s="2">
        <v>0</v>
      </c>
      <c r="D1069" s="2">
        <f>SUMIFS([1]Sheet1!D:D,[1]Sheet1!A:A,A1069,[1]Sheet1!E:E,"Figurado")</f>
        <v>21077.3</v>
      </c>
      <c r="E1069" s="2">
        <f>SUMIFS([1]Sheet1!D:D,[1]Sheet1!A:A,A1069,[1]Sheet1!E:E,"Mallas")</f>
        <v>0</v>
      </c>
      <c r="F1069" s="2">
        <f>SUMIFS([1]Sheet1!D:D,[1]Sheet1!A:A,A1069,[1]Sheet1!E:E,"Materia Prima")</f>
        <v>1482.9</v>
      </c>
      <c r="G1069" s="2">
        <f t="shared" si="64"/>
        <v>8.1066538461538453</v>
      </c>
      <c r="H1069">
        <f t="shared" si="65"/>
        <v>2</v>
      </c>
      <c r="I1069" s="2">
        <f t="shared" si="66"/>
        <v>8.1066538461538453</v>
      </c>
      <c r="J1069" s="2">
        <f t="shared" si="67"/>
        <v>0</v>
      </c>
    </row>
    <row r="1070" spans="1:10" x14ac:dyDescent="0.3">
      <c r="A1070">
        <v>1000018039</v>
      </c>
      <c r="B1070" s="1">
        <f>VLOOKUP(A1070,[1]Sheet1!A:B,2,FALSE)</f>
        <v>40584</v>
      </c>
      <c r="C1070" s="2">
        <v>0</v>
      </c>
      <c r="D1070" s="2">
        <f>SUMIFS([1]Sheet1!D:D,[1]Sheet1!A:A,A1070,[1]Sheet1!E:E,"Figurado")</f>
        <v>7081.9000000000005</v>
      </c>
      <c r="E1070" s="2">
        <f>SUMIFS([1]Sheet1!D:D,[1]Sheet1!A:A,A1070,[1]Sheet1!E:E,"Mallas")</f>
        <v>0</v>
      </c>
      <c r="F1070" s="2">
        <f>SUMIFS([1]Sheet1!D:D,[1]Sheet1!A:A,A1070,[1]Sheet1!E:E,"Materia Prima")</f>
        <v>288</v>
      </c>
      <c r="G1070" s="2">
        <f t="shared" si="64"/>
        <v>2.7238076923076924</v>
      </c>
      <c r="H1070">
        <f t="shared" si="65"/>
        <v>2</v>
      </c>
      <c r="I1070" s="2">
        <f t="shared" si="66"/>
        <v>2.7238076923076924</v>
      </c>
      <c r="J1070" s="2">
        <f t="shared" si="67"/>
        <v>0</v>
      </c>
    </row>
    <row r="1071" spans="1:10" x14ac:dyDescent="0.3">
      <c r="A1071">
        <v>1000018040</v>
      </c>
      <c r="B1071" s="1">
        <f>VLOOKUP(A1071,[1]Sheet1!A:B,2,FALSE)</f>
        <v>40584</v>
      </c>
      <c r="C1071" s="2">
        <v>0</v>
      </c>
      <c r="D1071" s="2">
        <f>SUMIFS([1]Sheet1!D:D,[1]Sheet1!A:A,A1071,[1]Sheet1!E:E,"Figurado")</f>
        <v>3268</v>
      </c>
      <c r="E1071" s="2">
        <f>SUMIFS([1]Sheet1!D:D,[1]Sheet1!A:A,A1071,[1]Sheet1!E:E,"Mallas")</f>
        <v>0</v>
      </c>
      <c r="F1071" s="2">
        <f>SUMIFS([1]Sheet1!D:D,[1]Sheet1!A:A,A1071,[1]Sheet1!E:E,"Materia Prima")</f>
        <v>0</v>
      </c>
      <c r="G1071" s="2">
        <f t="shared" si="64"/>
        <v>1.256923076923077</v>
      </c>
      <c r="H1071">
        <f t="shared" si="65"/>
        <v>1</v>
      </c>
      <c r="I1071" s="2">
        <f t="shared" si="66"/>
        <v>1.256923076923077</v>
      </c>
      <c r="J1071" s="2">
        <f t="shared" si="67"/>
        <v>0</v>
      </c>
    </row>
    <row r="1072" spans="1:10" x14ac:dyDescent="0.3">
      <c r="A1072">
        <v>1000018054</v>
      </c>
      <c r="B1072" s="1">
        <f>VLOOKUP(A1072,[1]Sheet1!A:B,2,FALSE)</f>
        <v>40585</v>
      </c>
      <c r="C1072" s="2">
        <v>0</v>
      </c>
      <c r="D1072" s="2">
        <f>SUMIFS([1]Sheet1!D:D,[1]Sheet1!A:A,A1072,[1]Sheet1!E:E,"Figurado")</f>
        <v>0</v>
      </c>
      <c r="E1072" s="2">
        <f>SUMIFS([1]Sheet1!D:D,[1]Sheet1!A:A,A1072,[1]Sheet1!E:E,"Mallas")</f>
        <v>0</v>
      </c>
      <c r="F1072" s="2">
        <f>SUMIFS([1]Sheet1!D:D,[1]Sheet1!A:A,A1072,[1]Sheet1!E:E,"Materia Prima")</f>
        <v>35004</v>
      </c>
      <c r="G1072" s="2">
        <f t="shared" si="64"/>
        <v>0</v>
      </c>
      <c r="H1072">
        <f t="shared" si="65"/>
        <v>1</v>
      </c>
      <c r="I1072" s="2">
        <f t="shared" si="66"/>
        <v>0</v>
      </c>
      <c r="J1072" s="2">
        <f t="shared" si="67"/>
        <v>0</v>
      </c>
    </row>
    <row r="1073" spans="1:10" x14ac:dyDescent="0.3">
      <c r="A1073">
        <v>1000018058</v>
      </c>
      <c r="B1073" s="1">
        <f>VLOOKUP(A1073,[1]Sheet1!A:B,2,FALSE)</f>
        <v>40585</v>
      </c>
      <c r="C1073" s="2">
        <v>0</v>
      </c>
      <c r="D1073" s="2">
        <f>SUMIFS([1]Sheet1!D:D,[1]Sheet1!A:A,A1073,[1]Sheet1!E:E,"Figurado")</f>
        <v>0</v>
      </c>
      <c r="E1073" s="2">
        <f>SUMIFS([1]Sheet1!D:D,[1]Sheet1!A:A,A1073,[1]Sheet1!E:E,"Mallas")</f>
        <v>1222.8</v>
      </c>
      <c r="F1073" s="2">
        <f>SUMIFS([1]Sheet1!D:D,[1]Sheet1!A:A,A1073,[1]Sheet1!E:E,"Materia Prima")</f>
        <v>0</v>
      </c>
      <c r="G1073" s="2">
        <f t="shared" si="64"/>
        <v>1.5285</v>
      </c>
      <c r="H1073">
        <f t="shared" si="65"/>
        <v>1</v>
      </c>
      <c r="I1073" s="2">
        <f t="shared" si="66"/>
        <v>0</v>
      </c>
      <c r="J1073" s="2">
        <f t="shared" si="67"/>
        <v>1.5285</v>
      </c>
    </row>
    <row r="1074" spans="1:10" x14ac:dyDescent="0.3">
      <c r="A1074">
        <v>1000018059</v>
      </c>
      <c r="B1074" s="1">
        <f>VLOOKUP(A1074,[1]Sheet1!A:B,2,FALSE)</f>
        <v>40585</v>
      </c>
      <c r="C1074" s="2">
        <v>0</v>
      </c>
      <c r="D1074" s="2">
        <f>SUMIFS([1]Sheet1!D:D,[1]Sheet1!A:A,A1074,[1]Sheet1!E:E,"Figurado")</f>
        <v>0</v>
      </c>
      <c r="E1074" s="2">
        <f>SUMIFS([1]Sheet1!D:D,[1]Sheet1!A:A,A1074,[1]Sheet1!E:E,"Mallas")</f>
        <v>7992.34</v>
      </c>
      <c r="F1074" s="2">
        <f>SUMIFS([1]Sheet1!D:D,[1]Sheet1!A:A,A1074,[1]Sheet1!E:E,"Materia Prima")</f>
        <v>0</v>
      </c>
      <c r="G1074" s="2">
        <f t="shared" si="64"/>
        <v>9.9904250000000001</v>
      </c>
      <c r="H1074">
        <f t="shared" si="65"/>
        <v>1</v>
      </c>
      <c r="I1074" s="2">
        <f t="shared" si="66"/>
        <v>0</v>
      </c>
      <c r="J1074" s="2">
        <f t="shared" si="67"/>
        <v>9.9904250000000001</v>
      </c>
    </row>
    <row r="1075" spans="1:10" x14ac:dyDescent="0.3">
      <c r="A1075">
        <v>1000018060</v>
      </c>
      <c r="B1075" s="1">
        <f>VLOOKUP(A1075,[1]Sheet1!A:B,2,FALSE)</f>
        <v>40585</v>
      </c>
      <c r="C1075" s="2">
        <v>0</v>
      </c>
      <c r="D1075" s="2">
        <f>SUMIFS([1]Sheet1!D:D,[1]Sheet1!A:A,A1075,[1]Sheet1!E:E,"Figurado")</f>
        <v>0</v>
      </c>
      <c r="E1075" s="2">
        <f>SUMIFS([1]Sheet1!D:D,[1]Sheet1!A:A,A1075,[1]Sheet1!E:E,"Mallas")</f>
        <v>0</v>
      </c>
      <c r="F1075" s="2">
        <f>SUMIFS([1]Sheet1!D:D,[1]Sheet1!A:A,A1075,[1]Sheet1!E:E,"Materia Prima")</f>
        <v>11660</v>
      </c>
      <c r="G1075" s="2">
        <f t="shared" si="64"/>
        <v>0</v>
      </c>
      <c r="H1075">
        <f t="shared" si="65"/>
        <v>1</v>
      </c>
      <c r="I1075" s="2">
        <f t="shared" si="66"/>
        <v>0</v>
      </c>
      <c r="J1075" s="2">
        <f t="shared" si="67"/>
        <v>0</v>
      </c>
    </row>
    <row r="1076" spans="1:10" x14ac:dyDescent="0.3">
      <c r="A1076">
        <v>1000018061</v>
      </c>
      <c r="B1076" s="1">
        <f>VLOOKUP(A1076,[1]Sheet1!A:B,2,FALSE)</f>
        <v>40585</v>
      </c>
      <c r="C1076" s="2">
        <v>0</v>
      </c>
      <c r="D1076" s="2">
        <f>SUMIFS([1]Sheet1!D:D,[1]Sheet1!A:A,A1076,[1]Sheet1!E:E,"Figurado")</f>
        <v>0</v>
      </c>
      <c r="E1076" s="2">
        <f>SUMIFS([1]Sheet1!D:D,[1]Sheet1!A:A,A1076,[1]Sheet1!E:E,"Mallas")</f>
        <v>2582.1</v>
      </c>
      <c r="F1076" s="2">
        <f>SUMIFS([1]Sheet1!D:D,[1]Sheet1!A:A,A1076,[1]Sheet1!E:E,"Materia Prima")</f>
        <v>0</v>
      </c>
      <c r="G1076" s="2">
        <f t="shared" si="64"/>
        <v>3.2276249999999997</v>
      </c>
      <c r="H1076">
        <f t="shared" si="65"/>
        <v>1</v>
      </c>
      <c r="I1076" s="2">
        <f t="shared" si="66"/>
        <v>0</v>
      </c>
      <c r="J1076" s="2">
        <f t="shared" si="67"/>
        <v>3.2276249999999997</v>
      </c>
    </row>
    <row r="1077" spans="1:10" x14ac:dyDescent="0.3">
      <c r="A1077">
        <v>1000018062</v>
      </c>
      <c r="B1077" s="1">
        <f>VLOOKUP(A1077,[1]Sheet1!A:B,2,FALSE)</f>
        <v>40585</v>
      </c>
      <c r="C1077" s="2">
        <v>0</v>
      </c>
      <c r="D1077" s="2">
        <f>SUMIFS([1]Sheet1!D:D,[1]Sheet1!A:A,A1077,[1]Sheet1!E:E,"Figurado")</f>
        <v>0</v>
      </c>
      <c r="E1077" s="2">
        <f>SUMIFS([1]Sheet1!D:D,[1]Sheet1!A:A,A1077,[1]Sheet1!E:E,"Mallas")</f>
        <v>9467.7000000000007</v>
      </c>
      <c r="F1077" s="2">
        <f>SUMIFS([1]Sheet1!D:D,[1]Sheet1!A:A,A1077,[1]Sheet1!E:E,"Materia Prima")</f>
        <v>0</v>
      </c>
      <c r="G1077" s="2">
        <f t="shared" si="64"/>
        <v>11.834625000000001</v>
      </c>
      <c r="H1077">
        <f t="shared" si="65"/>
        <v>1</v>
      </c>
      <c r="I1077" s="2">
        <f t="shared" si="66"/>
        <v>0</v>
      </c>
      <c r="J1077" s="2">
        <f t="shared" si="67"/>
        <v>11.834625000000001</v>
      </c>
    </row>
    <row r="1078" spans="1:10" x14ac:dyDescent="0.3">
      <c r="A1078">
        <v>1000018083</v>
      </c>
      <c r="B1078" s="1">
        <f>VLOOKUP(A1078,[1]Sheet1!A:B,2,FALSE)</f>
        <v>40586</v>
      </c>
      <c r="C1078" s="2">
        <v>0</v>
      </c>
      <c r="D1078" s="2">
        <f>SUMIFS([1]Sheet1!D:D,[1]Sheet1!A:A,A1078,[1]Sheet1!E:E,"Figurado")</f>
        <v>0</v>
      </c>
      <c r="E1078" s="2">
        <f>SUMIFS([1]Sheet1!D:D,[1]Sheet1!A:A,A1078,[1]Sheet1!E:E,"Mallas")</f>
        <v>2470</v>
      </c>
      <c r="F1078" s="2">
        <f>SUMIFS([1]Sheet1!D:D,[1]Sheet1!A:A,A1078,[1]Sheet1!E:E,"Materia Prima")</f>
        <v>0</v>
      </c>
      <c r="G1078" s="2">
        <f t="shared" si="64"/>
        <v>3.0874999999999999</v>
      </c>
      <c r="H1078">
        <f t="shared" si="65"/>
        <v>1</v>
      </c>
      <c r="I1078" s="2">
        <f t="shared" si="66"/>
        <v>0</v>
      </c>
      <c r="J1078" s="2">
        <f t="shared" si="67"/>
        <v>3.0874999999999999</v>
      </c>
    </row>
    <row r="1079" spans="1:10" x14ac:dyDescent="0.3">
      <c r="A1079">
        <v>1000018084</v>
      </c>
      <c r="B1079" s="1">
        <f>VLOOKUP(A1079,[1]Sheet1!A:B,2,FALSE)</f>
        <v>40586</v>
      </c>
      <c r="C1079" s="2">
        <v>0</v>
      </c>
      <c r="D1079" s="2">
        <f>SUMIFS([1]Sheet1!D:D,[1]Sheet1!A:A,A1079,[1]Sheet1!E:E,"Figurado")</f>
        <v>0</v>
      </c>
      <c r="E1079" s="2">
        <f>SUMIFS([1]Sheet1!D:D,[1]Sheet1!A:A,A1079,[1]Sheet1!E:E,"Mallas")</f>
        <v>0</v>
      </c>
      <c r="F1079" s="2">
        <f>SUMIFS([1]Sheet1!D:D,[1]Sheet1!A:A,A1079,[1]Sheet1!E:E,"Materia Prima")</f>
        <v>350</v>
      </c>
      <c r="G1079" s="2">
        <f t="shared" si="64"/>
        <v>0</v>
      </c>
      <c r="H1079">
        <f t="shared" si="65"/>
        <v>1</v>
      </c>
      <c r="I1079" s="2">
        <f t="shared" si="66"/>
        <v>0</v>
      </c>
      <c r="J1079" s="2">
        <f t="shared" si="67"/>
        <v>0</v>
      </c>
    </row>
    <row r="1080" spans="1:10" x14ac:dyDescent="0.3">
      <c r="A1080">
        <v>1000018085</v>
      </c>
      <c r="B1080" s="1">
        <f>VLOOKUP(A1080,[1]Sheet1!A:B,2,FALSE)</f>
        <v>40586</v>
      </c>
      <c r="C1080" s="2">
        <v>0</v>
      </c>
      <c r="D1080" s="2">
        <f>SUMIFS([1]Sheet1!D:D,[1]Sheet1!A:A,A1080,[1]Sheet1!E:E,"Figurado")</f>
        <v>0</v>
      </c>
      <c r="E1080" s="2">
        <f>SUMIFS([1]Sheet1!D:D,[1]Sheet1!A:A,A1080,[1]Sheet1!E:E,"Mallas")</f>
        <v>0</v>
      </c>
      <c r="F1080" s="2">
        <f>SUMIFS([1]Sheet1!D:D,[1]Sheet1!A:A,A1080,[1]Sheet1!E:E,"Materia Prima")</f>
        <v>100</v>
      </c>
      <c r="G1080" s="2">
        <f t="shared" si="64"/>
        <v>0</v>
      </c>
      <c r="H1080">
        <f t="shared" si="65"/>
        <v>1</v>
      </c>
      <c r="I1080" s="2">
        <f t="shared" si="66"/>
        <v>0</v>
      </c>
      <c r="J1080" s="2">
        <f t="shared" si="67"/>
        <v>0</v>
      </c>
    </row>
    <row r="1081" spans="1:10" x14ac:dyDescent="0.3">
      <c r="A1081">
        <v>1000018086</v>
      </c>
      <c r="B1081" s="1">
        <f>VLOOKUP(A1081,[1]Sheet1!A:B,2,FALSE)</f>
        <v>40586</v>
      </c>
      <c r="C1081" s="2">
        <v>0</v>
      </c>
      <c r="D1081" s="2">
        <f>SUMIFS([1]Sheet1!D:D,[1]Sheet1!A:A,A1081,[1]Sheet1!E:E,"Figurado")</f>
        <v>0</v>
      </c>
      <c r="E1081" s="2">
        <f>SUMIFS([1]Sheet1!D:D,[1]Sheet1!A:A,A1081,[1]Sheet1!E:E,"Mallas")</f>
        <v>0</v>
      </c>
      <c r="F1081" s="2">
        <f>SUMIFS([1]Sheet1!D:D,[1]Sheet1!A:A,A1081,[1]Sheet1!E:E,"Materia Prima")</f>
        <v>56</v>
      </c>
      <c r="G1081" s="2">
        <f t="shared" si="64"/>
        <v>0</v>
      </c>
      <c r="H1081">
        <f t="shared" si="65"/>
        <v>1</v>
      </c>
      <c r="I1081" s="2">
        <f t="shared" si="66"/>
        <v>0</v>
      </c>
      <c r="J1081" s="2">
        <f t="shared" si="67"/>
        <v>0</v>
      </c>
    </row>
    <row r="1082" spans="1:10" x14ac:dyDescent="0.3">
      <c r="A1082">
        <v>1000018088</v>
      </c>
      <c r="B1082" s="1">
        <f>VLOOKUP(A1082,[1]Sheet1!A:B,2,FALSE)</f>
        <v>40586</v>
      </c>
      <c r="C1082" s="2">
        <v>0</v>
      </c>
      <c r="D1082" s="2">
        <f>SUMIFS([1]Sheet1!D:D,[1]Sheet1!A:A,A1082,[1]Sheet1!E:E,"Figurado")</f>
        <v>0</v>
      </c>
      <c r="E1082" s="2">
        <f>SUMIFS([1]Sheet1!D:D,[1]Sheet1!A:A,A1082,[1]Sheet1!E:E,"Mallas")</f>
        <v>0</v>
      </c>
      <c r="F1082" s="2">
        <f>SUMIFS([1]Sheet1!D:D,[1]Sheet1!A:A,A1082,[1]Sheet1!E:E,"Materia Prima")</f>
        <v>11627</v>
      </c>
      <c r="G1082" s="2">
        <f t="shared" si="64"/>
        <v>0</v>
      </c>
      <c r="H1082">
        <f t="shared" si="65"/>
        <v>1</v>
      </c>
      <c r="I1082" s="2">
        <f t="shared" si="66"/>
        <v>0</v>
      </c>
      <c r="J1082" s="2">
        <f t="shared" si="67"/>
        <v>0</v>
      </c>
    </row>
    <row r="1083" spans="1:10" x14ac:dyDescent="0.3">
      <c r="A1083">
        <v>1000018090</v>
      </c>
      <c r="B1083" s="1">
        <f>VLOOKUP(A1083,[1]Sheet1!A:B,2,FALSE)</f>
        <v>40588</v>
      </c>
      <c r="C1083" s="2">
        <v>0</v>
      </c>
      <c r="D1083" s="2">
        <f>SUMIFS([1]Sheet1!D:D,[1]Sheet1!A:A,A1083,[1]Sheet1!E:E,"Figurado")</f>
        <v>11761.099999999999</v>
      </c>
      <c r="E1083" s="2">
        <f>SUMIFS([1]Sheet1!D:D,[1]Sheet1!A:A,A1083,[1]Sheet1!E:E,"Mallas")</f>
        <v>0</v>
      </c>
      <c r="F1083" s="2">
        <f>SUMIFS([1]Sheet1!D:D,[1]Sheet1!A:A,A1083,[1]Sheet1!E:E,"Materia Prima")</f>
        <v>40.299999999999997</v>
      </c>
      <c r="G1083" s="2">
        <f t="shared" si="64"/>
        <v>4.5234999999999994</v>
      </c>
      <c r="H1083">
        <f t="shared" si="65"/>
        <v>2</v>
      </c>
      <c r="I1083" s="2">
        <f t="shared" si="66"/>
        <v>4.5234999999999994</v>
      </c>
      <c r="J1083" s="2">
        <f t="shared" si="67"/>
        <v>0</v>
      </c>
    </row>
    <row r="1084" spans="1:10" x14ac:dyDescent="0.3">
      <c r="A1084">
        <v>1000018091</v>
      </c>
      <c r="B1084" s="1">
        <f>VLOOKUP(A1084,[1]Sheet1!A:B,2,FALSE)</f>
        <v>40588</v>
      </c>
      <c r="C1084" s="2">
        <v>0</v>
      </c>
      <c r="D1084" s="2">
        <f>SUMIFS([1]Sheet1!D:D,[1]Sheet1!A:A,A1084,[1]Sheet1!E:E,"Figurado")</f>
        <v>328.9</v>
      </c>
      <c r="E1084" s="2">
        <f>SUMIFS([1]Sheet1!D:D,[1]Sheet1!A:A,A1084,[1]Sheet1!E:E,"Mallas")</f>
        <v>0</v>
      </c>
      <c r="F1084" s="2">
        <f>SUMIFS([1]Sheet1!D:D,[1]Sheet1!A:A,A1084,[1]Sheet1!E:E,"Materia Prima")</f>
        <v>0</v>
      </c>
      <c r="G1084" s="2">
        <f t="shared" si="64"/>
        <v>0.1265</v>
      </c>
      <c r="H1084">
        <f t="shared" si="65"/>
        <v>1</v>
      </c>
      <c r="I1084" s="2">
        <f t="shared" si="66"/>
        <v>0.1265</v>
      </c>
      <c r="J1084" s="2">
        <f t="shared" si="67"/>
        <v>0</v>
      </c>
    </row>
    <row r="1085" spans="1:10" x14ac:dyDescent="0.3">
      <c r="A1085">
        <v>1000018092</v>
      </c>
      <c r="B1085" s="1">
        <f>VLOOKUP(A1085,[1]Sheet1!A:B,2,FALSE)</f>
        <v>40588</v>
      </c>
      <c r="C1085" s="2">
        <v>0</v>
      </c>
      <c r="D1085" s="2">
        <f>SUMIFS([1]Sheet1!D:D,[1]Sheet1!A:A,A1085,[1]Sheet1!E:E,"Figurado")</f>
        <v>1110.9000000000001</v>
      </c>
      <c r="E1085" s="2">
        <f>SUMIFS([1]Sheet1!D:D,[1]Sheet1!A:A,A1085,[1]Sheet1!E:E,"Mallas")</f>
        <v>0</v>
      </c>
      <c r="F1085" s="2">
        <f>SUMIFS([1]Sheet1!D:D,[1]Sheet1!A:A,A1085,[1]Sheet1!E:E,"Materia Prima")</f>
        <v>468</v>
      </c>
      <c r="G1085" s="2">
        <f t="shared" si="64"/>
        <v>0.42726923076923079</v>
      </c>
      <c r="H1085">
        <f t="shared" si="65"/>
        <v>2</v>
      </c>
      <c r="I1085" s="2">
        <f t="shared" si="66"/>
        <v>0.42726923076923079</v>
      </c>
      <c r="J1085" s="2">
        <f t="shared" si="67"/>
        <v>0</v>
      </c>
    </row>
    <row r="1086" spans="1:10" x14ac:dyDescent="0.3">
      <c r="A1086">
        <v>1000018095</v>
      </c>
      <c r="B1086" s="1">
        <f>VLOOKUP(A1086,[1]Sheet1!A:B,2,FALSE)</f>
        <v>40588</v>
      </c>
      <c r="C1086" s="2">
        <v>0</v>
      </c>
      <c r="D1086" s="2">
        <f>SUMIFS([1]Sheet1!D:D,[1]Sheet1!A:A,A1086,[1]Sheet1!E:E,"Figurado")</f>
        <v>10637.5</v>
      </c>
      <c r="E1086" s="2">
        <f>SUMIFS([1]Sheet1!D:D,[1]Sheet1!A:A,A1086,[1]Sheet1!E:E,"Mallas")</f>
        <v>0</v>
      </c>
      <c r="F1086" s="2">
        <f>SUMIFS([1]Sheet1!D:D,[1]Sheet1!A:A,A1086,[1]Sheet1!E:E,"Materia Prima")</f>
        <v>0</v>
      </c>
      <c r="G1086" s="2">
        <f t="shared" si="64"/>
        <v>4.0913461538461542</v>
      </c>
      <c r="H1086">
        <f t="shared" si="65"/>
        <v>1</v>
      </c>
      <c r="I1086" s="2">
        <f t="shared" si="66"/>
        <v>4.0913461538461542</v>
      </c>
      <c r="J1086" s="2">
        <f t="shared" si="67"/>
        <v>0</v>
      </c>
    </row>
    <row r="1087" spans="1:10" x14ac:dyDescent="0.3">
      <c r="A1087">
        <v>1000018097</v>
      </c>
      <c r="B1087" s="1">
        <f>VLOOKUP(A1087,[1]Sheet1!A:B,2,FALSE)</f>
        <v>40588</v>
      </c>
      <c r="C1087" s="2">
        <v>0</v>
      </c>
      <c r="D1087" s="2">
        <f>SUMIFS([1]Sheet1!D:D,[1]Sheet1!A:A,A1087,[1]Sheet1!E:E,"Figurado")</f>
        <v>1368</v>
      </c>
      <c r="E1087" s="2">
        <f>SUMIFS([1]Sheet1!D:D,[1]Sheet1!A:A,A1087,[1]Sheet1!E:E,"Mallas")</f>
        <v>0</v>
      </c>
      <c r="F1087" s="2">
        <f>SUMIFS([1]Sheet1!D:D,[1]Sheet1!A:A,A1087,[1]Sheet1!E:E,"Materia Prima")</f>
        <v>0</v>
      </c>
      <c r="G1087" s="2">
        <f t="shared" si="64"/>
        <v>0.52615384615384619</v>
      </c>
      <c r="H1087">
        <f t="shared" si="65"/>
        <v>1</v>
      </c>
      <c r="I1087" s="2">
        <f t="shared" si="66"/>
        <v>0.52615384615384619</v>
      </c>
      <c r="J1087" s="2">
        <f t="shared" si="67"/>
        <v>0</v>
      </c>
    </row>
    <row r="1088" spans="1:10" x14ac:dyDescent="0.3">
      <c r="A1088">
        <v>1000018098</v>
      </c>
      <c r="B1088" s="1">
        <f>VLOOKUP(A1088,[1]Sheet1!A:B,2,FALSE)</f>
        <v>40588</v>
      </c>
      <c r="C1088" s="2">
        <v>0</v>
      </c>
      <c r="D1088" s="2">
        <f>SUMIFS([1]Sheet1!D:D,[1]Sheet1!A:A,A1088,[1]Sheet1!E:E,"Figurado")</f>
        <v>11119</v>
      </c>
      <c r="E1088" s="2">
        <f>SUMIFS([1]Sheet1!D:D,[1]Sheet1!A:A,A1088,[1]Sheet1!E:E,"Mallas")</f>
        <v>0</v>
      </c>
      <c r="F1088" s="2">
        <f>SUMIFS([1]Sheet1!D:D,[1]Sheet1!A:A,A1088,[1]Sheet1!E:E,"Materia Prima")</f>
        <v>0</v>
      </c>
      <c r="G1088" s="2">
        <f t="shared" si="64"/>
        <v>4.2765384615384612</v>
      </c>
      <c r="H1088">
        <f t="shared" si="65"/>
        <v>1</v>
      </c>
      <c r="I1088" s="2">
        <f t="shared" si="66"/>
        <v>4.2765384615384612</v>
      </c>
      <c r="J1088" s="2">
        <f t="shared" si="67"/>
        <v>0</v>
      </c>
    </row>
    <row r="1089" spans="1:10" x14ac:dyDescent="0.3">
      <c r="A1089">
        <v>1000018099</v>
      </c>
      <c r="B1089" s="1">
        <f>VLOOKUP(A1089,[1]Sheet1!A:B,2,FALSE)</f>
        <v>40588</v>
      </c>
      <c r="C1089" s="2">
        <v>0</v>
      </c>
      <c r="D1089" s="2">
        <f>SUMIFS([1]Sheet1!D:D,[1]Sheet1!A:A,A1089,[1]Sheet1!E:E,"Figurado")</f>
        <v>9269.6</v>
      </c>
      <c r="E1089" s="2">
        <f>SUMIFS([1]Sheet1!D:D,[1]Sheet1!A:A,A1089,[1]Sheet1!E:E,"Mallas")</f>
        <v>0</v>
      </c>
      <c r="F1089" s="2">
        <f>SUMIFS([1]Sheet1!D:D,[1]Sheet1!A:A,A1089,[1]Sheet1!E:E,"Materia Prima")</f>
        <v>0</v>
      </c>
      <c r="G1089" s="2">
        <f t="shared" si="64"/>
        <v>3.5652307692307694</v>
      </c>
      <c r="H1089">
        <f t="shared" si="65"/>
        <v>1</v>
      </c>
      <c r="I1089" s="2">
        <f t="shared" si="66"/>
        <v>3.5652307692307694</v>
      </c>
      <c r="J1089" s="2">
        <f t="shared" si="67"/>
        <v>0</v>
      </c>
    </row>
    <row r="1090" spans="1:10" x14ac:dyDescent="0.3">
      <c r="A1090">
        <v>1000018101</v>
      </c>
      <c r="B1090" s="1">
        <f>VLOOKUP(A1090,[1]Sheet1!A:B,2,FALSE)</f>
        <v>40588</v>
      </c>
      <c r="C1090" s="2">
        <v>0</v>
      </c>
      <c r="D1090" s="2">
        <f>SUMIFS([1]Sheet1!D:D,[1]Sheet1!A:A,A1090,[1]Sheet1!E:E,"Figurado")</f>
        <v>2448.6999999999998</v>
      </c>
      <c r="E1090" s="2">
        <f>SUMIFS([1]Sheet1!D:D,[1]Sheet1!A:A,A1090,[1]Sheet1!E:E,"Mallas")</f>
        <v>0</v>
      </c>
      <c r="F1090" s="2">
        <f>SUMIFS([1]Sheet1!D:D,[1]Sheet1!A:A,A1090,[1]Sheet1!E:E,"Materia Prima")</f>
        <v>0</v>
      </c>
      <c r="G1090" s="2">
        <f t="shared" si="64"/>
        <v>0.94180769230769223</v>
      </c>
      <c r="H1090">
        <f t="shared" si="65"/>
        <v>1</v>
      </c>
      <c r="I1090" s="2">
        <f t="shared" si="66"/>
        <v>0.94180769230769223</v>
      </c>
      <c r="J1090" s="2">
        <f t="shared" si="67"/>
        <v>0</v>
      </c>
    </row>
    <row r="1091" spans="1:10" x14ac:dyDescent="0.3">
      <c r="A1091">
        <v>1000018102</v>
      </c>
      <c r="B1091" s="1">
        <f>VLOOKUP(A1091,[1]Sheet1!A:B,2,FALSE)</f>
        <v>40588</v>
      </c>
      <c r="C1091" s="2">
        <v>0</v>
      </c>
      <c r="D1091" s="2">
        <f>SUMIFS([1]Sheet1!D:D,[1]Sheet1!A:A,A1091,[1]Sheet1!E:E,"Figurado")</f>
        <v>1089.3000000000002</v>
      </c>
      <c r="E1091" s="2">
        <f>SUMIFS([1]Sheet1!D:D,[1]Sheet1!A:A,A1091,[1]Sheet1!E:E,"Mallas")</f>
        <v>0</v>
      </c>
      <c r="F1091" s="2">
        <f>SUMIFS([1]Sheet1!D:D,[1]Sheet1!A:A,A1091,[1]Sheet1!E:E,"Materia Prima")</f>
        <v>0</v>
      </c>
      <c r="G1091" s="2">
        <f t="shared" ref="G1091:G1113" si="68">(D1091/2600)+(E1091/800)</f>
        <v>0.41896153846153855</v>
      </c>
      <c r="H1091">
        <f t="shared" ref="H1091:H1113" si="69">(IF(D1091&gt;0,1,0) + IF(E1091&gt;0,1,0) + IF(F1091&gt;0,1,0))</f>
        <v>1</v>
      </c>
      <c r="I1091" s="2">
        <f t="shared" ref="I1091:I1113" si="70">D1091/2600</f>
        <v>0.41896153846153855</v>
      </c>
      <c r="J1091" s="2">
        <f t="shared" ref="J1091:J1113" si="71">E1091/800</f>
        <v>0</v>
      </c>
    </row>
    <row r="1092" spans="1:10" x14ac:dyDescent="0.3">
      <c r="A1092">
        <v>1000018103</v>
      </c>
      <c r="B1092" s="1">
        <f>VLOOKUP(A1092,[1]Sheet1!A:B,2,FALSE)</f>
        <v>40588</v>
      </c>
      <c r="C1092" s="2">
        <v>0</v>
      </c>
      <c r="D1092" s="2">
        <f>SUMIFS([1]Sheet1!D:D,[1]Sheet1!A:A,A1092,[1]Sheet1!E:E,"Figurado")</f>
        <v>7000.9</v>
      </c>
      <c r="E1092" s="2">
        <f>SUMIFS([1]Sheet1!D:D,[1]Sheet1!A:A,A1092,[1]Sheet1!E:E,"Mallas")</f>
        <v>0</v>
      </c>
      <c r="F1092" s="2">
        <f>SUMIFS([1]Sheet1!D:D,[1]Sheet1!A:A,A1092,[1]Sheet1!E:E,"Materia Prima")</f>
        <v>0</v>
      </c>
      <c r="G1092" s="2">
        <f t="shared" si="68"/>
        <v>2.6926538461538461</v>
      </c>
      <c r="H1092">
        <f t="shared" si="69"/>
        <v>1</v>
      </c>
      <c r="I1092" s="2">
        <f t="shared" si="70"/>
        <v>2.6926538461538461</v>
      </c>
      <c r="J1092" s="2">
        <f t="shared" si="71"/>
        <v>0</v>
      </c>
    </row>
    <row r="1093" spans="1:10" x14ac:dyDescent="0.3">
      <c r="A1093">
        <v>1000018104</v>
      </c>
      <c r="B1093" s="1">
        <f>VLOOKUP(A1093,[1]Sheet1!A:B,2,FALSE)</f>
        <v>40588</v>
      </c>
      <c r="C1093" s="2">
        <v>0</v>
      </c>
      <c r="D1093" s="2">
        <f>SUMIFS([1]Sheet1!D:D,[1]Sheet1!A:A,A1093,[1]Sheet1!E:E,"Figurado")</f>
        <v>0</v>
      </c>
      <c r="E1093" s="2">
        <f>SUMIFS([1]Sheet1!D:D,[1]Sheet1!A:A,A1093,[1]Sheet1!E:E,"Mallas")</f>
        <v>0</v>
      </c>
      <c r="F1093" s="2">
        <f>SUMIFS([1]Sheet1!D:D,[1]Sheet1!A:A,A1093,[1]Sheet1!E:E,"Materia Prima")</f>
        <v>1000</v>
      </c>
      <c r="G1093" s="2">
        <f t="shared" si="68"/>
        <v>0</v>
      </c>
      <c r="H1093">
        <f t="shared" si="69"/>
        <v>1</v>
      </c>
      <c r="I1093" s="2">
        <f t="shared" si="70"/>
        <v>0</v>
      </c>
      <c r="J1093" s="2">
        <f t="shared" si="71"/>
        <v>0</v>
      </c>
    </row>
    <row r="1094" spans="1:10" x14ac:dyDescent="0.3">
      <c r="A1094">
        <v>1000018105</v>
      </c>
      <c r="B1094" s="1">
        <f>VLOOKUP(A1094,[1]Sheet1!A:B,2,FALSE)</f>
        <v>40588</v>
      </c>
      <c r="C1094" s="2">
        <v>0</v>
      </c>
      <c r="D1094" s="2">
        <f>SUMIFS([1]Sheet1!D:D,[1]Sheet1!A:A,A1094,[1]Sheet1!E:E,"Figurado")</f>
        <v>0</v>
      </c>
      <c r="E1094" s="2">
        <f>SUMIFS([1]Sheet1!D:D,[1]Sheet1!A:A,A1094,[1]Sheet1!E:E,"Mallas")</f>
        <v>8211.2199999999993</v>
      </c>
      <c r="F1094" s="2">
        <f>SUMIFS([1]Sheet1!D:D,[1]Sheet1!A:A,A1094,[1]Sheet1!E:E,"Materia Prima")</f>
        <v>0</v>
      </c>
      <c r="G1094" s="2">
        <f t="shared" si="68"/>
        <v>10.264024999999998</v>
      </c>
      <c r="H1094">
        <f t="shared" si="69"/>
        <v>1</v>
      </c>
      <c r="I1094" s="2">
        <f t="shared" si="70"/>
        <v>0</v>
      </c>
      <c r="J1094" s="2">
        <f t="shared" si="71"/>
        <v>10.264024999999998</v>
      </c>
    </row>
    <row r="1095" spans="1:10" x14ac:dyDescent="0.3">
      <c r="A1095">
        <v>1000018106</v>
      </c>
      <c r="B1095" s="1">
        <f>VLOOKUP(A1095,[1]Sheet1!A:B,2,FALSE)</f>
        <v>40588</v>
      </c>
      <c r="C1095" s="2">
        <v>0</v>
      </c>
      <c r="D1095" s="2">
        <f>SUMIFS([1]Sheet1!D:D,[1]Sheet1!A:A,A1095,[1]Sheet1!E:E,"Figurado")</f>
        <v>0</v>
      </c>
      <c r="E1095" s="2">
        <f>SUMIFS([1]Sheet1!D:D,[1]Sheet1!A:A,A1095,[1]Sheet1!E:E,"Mallas")</f>
        <v>0</v>
      </c>
      <c r="F1095" s="2">
        <f>SUMIFS([1]Sheet1!D:D,[1]Sheet1!A:A,A1095,[1]Sheet1!E:E,"Materia Prima")</f>
        <v>1013</v>
      </c>
      <c r="G1095" s="2">
        <f t="shared" si="68"/>
        <v>0</v>
      </c>
      <c r="H1095">
        <f t="shared" si="69"/>
        <v>1</v>
      </c>
      <c r="I1095" s="2">
        <f t="shared" si="70"/>
        <v>0</v>
      </c>
      <c r="J1095" s="2">
        <f t="shared" si="71"/>
        <v>0</v>
      </c>
    </row>
    <row r="1096" spans="1:10" x14ac:dyDescent="0.3">
      <c r="A1096">
        <v>1000018114</v>
      </c>
      <c r="B1096" s="1">
        <f>VLOOKUP(A1096,[1]Sheet1!A:B,2,FALSE)</f>
        <v>40588</v>
      </c>
      <c r="C1096" s="2">
        <v>0</v>
      </c>
      <c r="D1096" s="2">
        <f>SUMIFS([1]Sheet1!D:D,[1]Sheet1!A:A,A1096,[1]Sheet1!E:E,"Figurado")</f>
        <v>5289.8</v>
      </c>
      <c r="E1096" s="2">
        <f>SUMIFS([1]Sheet1!D:D,[1]Sheet1!A:A,A1096,[1]Sheet1!E:E,"Mallas")</f>
        <v>0</v>
      </c>
      <c r="F1096" s="2">
        <f>SUMIFS([1]Sheet1!D:D,[1]Sheet1!A:A,A1096,[1]Sheet1!E:E,"Materia Prima")</f>
        <v>0</v>
      </c>
      <c r="G1096" s="2">
        <f t="shared" si="68"/>
        <v>2.0345384615384616</v>
      </c>
      <c r="H1096">
        <f t="shared" si="69"/>
        <v>1</v>
      </c>
      <c r="I1096" s="2">
        <f t="shared" si="70"/>
        <v>2.0345384615384616</v>
      </c>
      <c r="J1096" s="2">
        <f t="shared" si="71"/>
        <v>0</v>
      </c>
    </row>
    <row r="1097" spans="1:10" x14ac:dyDescent="0.3">
      <c r="A1097">
        <v>1000018115</v>
      </c>
      <c r="B1097" s="1">
        <f>VLOOKUP(A1097,[1]Sheet1!A:B,2,FALSE)</f>
        <v>40588</v>
      </c>
      <c r="C1097" s="2">
        <v>0</v>
      </c>
      <c r="D1097" s="2">
        <f>SUMIFS([1]Sheet1!D:D,[1]Sheet1!A:A,A1097,[1]Sheet1!E:E,"Figurado")</f>
        <v>70.5</v>
      </c>
      <c r="E1097" s="2">
        <f>SUMIFS([1]Sheet1!D:D,[1]Sheet1!A:A,A1097,[1]Sheet1!E:E,"Mallas")</f>
        <v>0</v>
      </c>
      <c r="F1097" s="2">
        <f>SUMIFS([1]Sheet1!D:D,[1]Sheet1!A:A,A1097,[1]Sheet1!E:E,"Materia Prima")</f>
        <v>0</v>
      </c>
      <c r="G1097" s="2">
        <f t="shared" si="68"/>
        <v>2.7115384615384614E-2</v>
      </c>
      <c r="H1097">
        <f t="shared" si="69"/>
        <v>1</v>
      </c>
      <c r="I1097" s="2">
        <f t="shared" si="70"/>
        <v>2.7115384615384614E-2</v>
      </c>
      <c r="J1097" s="2">
        <f t="shared" si="71"/>
        <v>0</v>
      </c>
    </row>
    <row r="1098" spans="1:10" x14ac:dyDescent="0.3">
      <c r="A1098">
        <v>1000018116</v>
      </c>
      <c r="B1098" s="1">
        <f>VLOOKUP(A1098,[1]Sheet1!A:B,2,FALSE)</f>
        <v>40589</v>
      </c>
      <c r="C1098" s="2">
        <v>0</v>
      </c>
      <c r="D1098" s="2">
        <f>SUMIFS([1]Sheet1!D:D,[1]Sheet1!A:A,A1098,[1]Sheet1!E:E,"Figurado")</f>
        <v>2362.8999999999996</v>
      </c>
      <c r="E1098" s="2">
        <f>SUMIFS([1]Sheet1!D:D,[1]Sheet1!A:A,A1098,[1]Sheet1!E:E,"Mallas")</f>
        <v>0</v>
      </c>
      <c r="F1098" s="2">
        <f>SUMIFS([1]Sheet1!D:D,[1]Sheet1!A:A,A1098,[1]Sheet1!E:E,"Materia Prima")</f>
        <v>2160</v>
      </c>
      <c r="G1098" s="2">
        <f t="shared" si="68"/>
        <v>0.90880769230769221</v>
      </c>
      <c r="H1098">
        <f t="shared" si="69"/>
        <v>2</v>
      </c>
      <c r="I1098" s="2">
        <f t="shared" si="70"/>
        <v>0.90880769230769221</v>
      </c>
      <c r="J1098" s="2">
        <f t="shared" si="71"/>
        <v>0</v>
      </c>
    </row>
    <row r="1099" spans="1:10" x14ac:dyDescent="0.3">
      <c r="A1099">
        <v>1000018117</v>
      </c>
      <c r="B1099" s="1">
        <f>VLOOKUP(A1099,[1]Sheet1!A:B,2,FALSE)</f>
        <v>40589</v>
      </c>
      <c r="C1099" s="2">
        <v>0</v>
      </c>
      <c r="D1099" s="2">
        <f>SUMIFS([1]Sheet1!D:D,[1]Sheet1!A:A,A1099,[1]Sheet1!E:E,"Figurado")</f>
        <v>10705.8</v>
      </c>
      <c r="E1099" s="2">
        <f>SUMIFS([1]Sheet1!D:D,[1]Sheet1!A:A,A1099,[1]Sheet1!E:E,"Mallas")</f>
        <v>0</v>
      </c>
      <c r="F1099" s="2">
        <f>SUMIFS([1]Sheet1!D:D,[1]Sheet1!A:A,A1099,[1]Sheet1!E:E,"Materia Prima")</f>
        <v>0</v>
      </c>
      <c r="G1099" s="2">
        <f t="shared" si="68"/>
        <v>4.1176153846153847</v>
      </c>
      <c r="H1099">
        <f t="shared" si="69"/>
        <v>1</v>
      </c>
      <c r="I1099" s="2">
        <f t="shared" si="70"/>
        <v>4.1176153846153847</v>
      </c>
      <c r="J1099" s="2">
        <f t="shared" si="71"/>
        <v>0</v>
      </c>
    </row>
    <row r="1100" spans="1:10" x14ac:dyDescent="0.3">
      <c r="A1100">
        <v>1000018118</v>
      </c>
      <c r="B1100" s="1">
        <f>VLOOKUP(A1100,[1]Sheet1!A:B,2,FALSE)</f>
        <v>40589</v>
      </c>
      <c r="C1100" s="2">
        <v>0</v>
      </c>
      <c r="D1100" s="2">
        <f>SUMIFS([1]Sheet1!D:D,[1]Sheet1!A:A,A1100,[1]Sheet1!E:E,"Figurado")</f>
        <v>471.6</v>
      </c>
      <c r="E1100" s="2">
        <f>SUMIFS([1]Sheet1!D:D,[1]Sheet1!A:A,A1100,[1]Sheet1!E:E,"Mallas")</f>
        <v>0</v>
      </c>
      <c r="F1100" s="2">
        <f>SUMIFS([1]Sheet1!D:D,[1]Sheet1!A:A,A1100,[1]Sheet1!E:E,"Materia Prima")</f>
        <v>0</v>
      </c>
      <c r="G1100" s="2">
        <f t="shared" si="68"/>
        <v>0.18138461538461539</v>
      </c>
      <c r="H1100">
        <f t="shared" si="69"/>
        <v>1</v>
      </c>
      <c r="I1100" s="2">
        <f t="shared" si="70"/>
        <v>0.18138461538461539</v>
      </c>
      <c r="J1100" s="2">
        <f t="shared" si="71"/>
        <v>0</v>
      </c>
    </row>
    <row r="1101" spans="1:10" x14ac:dyDescent="0.3">
      <c r="A1101">
        <v>1000018119</v>
      </c>
      <c r="B1101" s="1">
        <f>VLOOKUP(A1101,[1]Sheet1!A:B,2,FALSE)</f>
        <v>40589</v>
      </c>
      <c r="C1101" s="2">
        <v>0</v>
      </c>
      <c r="D1101" s="2">
        <f>SUMIFS([1]Sheet1!D:D,[1]Sheet1!A:A,A1101,[1]Sheet1!E:E,"Figurado")</f>
        <v>2037</v>
      </c>
      <c r="E1101" s="2">
        <f>SUMIFS([1]Sheet1!D:D,[1]Sheet1!A:A,A1101,[1]Sheet1!E:E,"Mallas")</f>
        <v>0</v>
      </c>
      <c r="F1101" s="2">
        <f>SUMIFS([1]Sheet1!D:D,[1]Sheet1!A:A,A1101,[1]Sheet1!E:E,"Materia Prima")</f>
        <v>24</v>
      </c>
      <c r="G1101" s="2">
        <f t="shared" si="68"/>
        <v>0.78346153846153843</v>
      </c>
      <c r="H1101">
        <f t="shared" si="69"/>
        <v>2</v>
      </c>
      <c r="I1101" s="2">
        <f t="shared" si="70"/>
        <v>0.78346153846153843</v>
      </c>
      <c r="J1101" s="2">
        <f t="shared" si="71"/>
        <v>0</v>
      </c>
    </row>
    <row r="1102" spans="1:10" x14ac:dyDescent="0.3">
      <c r="A1102">
        <v>1000018120</v>
      </c>
      <c r="B1102" s="1">
        <f>VLOOKUP(A1102,[1]Sheet1!A:B,2,FALSE)</f>
        <v>40589</v>
      </c>
      <c r="C1102" s="2">
        <v>0</v>
      </c>
      <c r="D1102" s="2">
        <f>SUMIFS([1]Sheet1!D:D,[1]Sheet1!A:A,A1102,[1]Sheet1!E:E,"Figurado")</f>
        <v>3382.4</v>
      </c>
      <c r="E1102" s="2">
        <f>SUMIFS([1]Sheet1!D:D,[1]Sheet1!A:A,A1102,[1]Sheet1!E:E,"Mallas")</f>
        <v>0</v>
      </c>
      <c r="F1102" s="2">
        <f>SUMIFS([1]Sheet1!D:D,[1]Sheet1!A:A,A1102,[1]Sheet1!E:E,"Materia Prima")</f>
        <v>51</v>
      </c>
      <c r="G1102" s="2">
        <f t="shared" si="68"/>
        <v>1.3009230769230768</v>
      </c>
      <c r="H1102">
        <f t="shared" si="69"/>
        <v>2</v>
      </c>
      <c r="I1102" s="2">
        <f t="shared" si="70"/>
        <v>1.3009230769230768</v>
      </c>
      <c r="J1102" s="2">
        <f t="shared" si="71"/>
        <v>0</v>
      </c>
    </row>
    <row r="1103" spans="1:10" x14ac:dyDescent="0.3">
      <c r="A1103">
        <v>1000018121</v>
      </c>
      <c r="B1103" s="1">
        <f>VLOOKUP(A1103,[1]Sheet1!A:B,2,FALSE)</f>
        <v>40589</v>
      </c>
      <c r="C1103" s="2">
        <v>0</v>
      </c>
      <c r="D1103" s="2">
        <f>SUMIFS([1]Sheet1!D:D,[1]Sheet1!A:A,A1103,[1]Sheet1!E:E,"Figurado")</f>
        <v>1804.3</v>
      </c>
      <c r="E1103" s="2">
        <f>SUMIFS([1]Sheet1!D:D,[1]Sheet1!A:A,A1103,[1]Sheet1!E:E,"Mallas")</f>
        <v>0</v>
      </c>
      <c r="F1103" s="2">
        <f>SUMIFS([1]Sheet1!D:D,[1]Sheet1!A:A,A1103,[1]Sheet1!E:E,"Materia Prima")</f>
        <v>0</v>
      </c>
      <c r="G1103" s="2">
        <f t="shared" si="68"/>
        <v>0.69396153846153841</v>
      </c>
      <c r="H1103">
        <f t="shared" si="69"/>
        <v>1</v>
      </c>
      <c r="I1103" s="2">
        <f t="shared" si="70"/>
        <v>0.69396153846153841</v>
      </c>
      <c r="J1103" s="2">
        <f t="shared" si="71"/>
        <v>0</v>
      </c>
    </row>
    <row r="1104" spans="1:10" x14ac:dyDescent="0.3">
      <c r="A1104">
        <v>1000018122</v>
      </c>
      <c r="B1104" s="1">
        <f>VLOOKUP(A1104,[1]Sheet1!A:B,2,FALSE)</f>
        <v>40589</v>
      </c>
      <c r="C1104" s="2">
        <v>0</v>
      </c>
      <c r="D1104" s="2">
        <f>SUMIFS([1]Sheet1!D:D,[1]Sheet1!A:A,A1104,[1]Sheet1!E:E,"Figurado")</f>
        <v>7543.0000000000009</v>
      </c>
      <c r="E1104" s="2">
        <f>SUMIFS([1]Sheet1!D:D,[1]Sheet1!A:A,A1104,[1]Sheet1!E:E,"Mallas")</f>
        <v>0</v>
      </c>
      <c r="F1104" s="2">
        <f>SUMIFS([1]Sheet1!D:D,[1]Sheet1!A:A,A1104,[1]Sheet1!E:E,"Materia Prima")</f>
        <v>0</v>
      </c>
      <c r="G1104" s="2">
        <f t="shared" si="68"/>
        <v>2.9011538461538464</v>
      </c>
      <c r="H1104">
        <f t="shared" si="69"/>
        <v>1</v>
      </c>
      <c r="I1104" s="2">
        <f t="shared" si="70"/>
        <v>2.9011538461538464</v>
      </c>
      <c r="J1104" s="2">
        <f t="shared" si="71"/>
        <v>0</v>
      </c>
    </row>
    <row r="1105" spans="1:10" x14ac:dyDescent="0.3">
      <c r="A1105">
        <v>1000018123</v>
      </c>
      <c r="B1105" s="1">
        <f>VLOOKUP(A1105,[1]Sheet1!A:B,2,FALSE)</f>
        <v>40589</v>
      </c>
      <c r="C1105" s="2">
        <v>0</v>
      </c>
      <c r="D1105" s="2">
        <f>SUMIFS([1]Sheet1!D:D,[1]Sheet1!A:A,A1105,[1]Sheet1!E:E,"Figurado")</f>
        <v>190.5</v>
      </c>
      <c r="E1105" s="2">
        <f>SUMIFS([1]Sheet1!D:D,[1]Sheet1!A:A,A1105,[1]Sheet1!E:E,"Mallas")</f>
        <v>0</v>
      </c>
      <c r="F1105" s="2">
        <f>SUMIFS([1]Sheet1!D:D,[1]Sheet1!A:A,A1105,[1]Sheet1!E:E,"Materia Prima")</f>
        <v>0</v>
      </c>
      <c r="G1105" s="2">
        <f t="shared" si="68"/>
        <v>7.3269230769230767E-2</v>
      </c>
      <c r="H1105">
        <f t="shared" si="69"/>
        <v>1</v>
      </c>
      <c r="I1105" s="2">
        <f t="shared" si="70"/>
        <v>7.3269230769230767E-2</v>
      </c>
      <c r="J1105" s="2">
        <f t="shared" si="71"/>
        <v>0</v>
      </c>
    </row>
    <row r="1106" spans="1:10" x14ac:dyDescent="0.3">
      <c r="A1106">
        <v>1000018124</v>
      </c>
      <c r="B1106" s="1">
        <f>VLOOKUP(A1106,[1]Sheet1!A:B,2,FALSE)</f>
        <v>40589</v>
      </c>
      <c r="C1106" s="2">
        <v>0</v>
      </c>
      <c r="D1106" s="2">
        <f>SUMIFS([1]Sheet1!D:D,[1]Sheet1!A:A,A1106,[1]Sheet1!E:E,"Figurado")</f>
        <v>1576.6000000000001</v>
      </c>
      <c r="E1106" s="2">
        <f>SUMIFS([1]Sheet1!D:D,[1]Sheet1!A:A,A1106,[1]Sheet1!E:E,"Mallas")</f>
        <v>0</v>
      </c>
      <c r="F1106" s="2">
        <f>SUMIFS([1]Sheet1!D:D,[1]Sheet1!A:A,A1106,[1]Sheet1!E:E,"Materia Prima")</f>
        <v>134.4</v>
      </c>
      <c r="G1106" s="2">
        <f t="shared" si="68"/>
        <v>0.60638461538461541</v>
      </c>
      <c r="H1106">
        <f t="shared" si="69"/>
        <v>2</v>
      </c>
      <c r="I1106" s="2">
        <f t="shared" si="70"/>
        <v>0.60638461538461541</v>
      </c>
      <c r="J1106" s="2">
        <f t="shared" si="71"/>
        <v>0</v>
      </c>
    </row>
    <row r="1107" spans="1:10" x14ac:dyDescent="0.3">
      <c r="A1107">
        <v>1000018125</v>
      </c>
      <c r="B1107" s="1">
        <f>VLOOKUP(A1107,[1]Sheet1!A:B,2,FALSE)</f>
        <v>40589</v>
      </c>
      <c r="C1107" s="2">
        <v>0</v>
      </c>
      <c r="D1107" s="2">
        <f>SUMIFS([1]Sheet1!D:D,[1]Sheet1!A:A,A1107,[1]Sheet1!E:E,"Figurado")</f>
        <v>2341.7000000000003</v>
      </c>
      <c r="E1107" s="2">
        <f>SUMIFS([1]Sheet1!D:D,[1]Sheet1!A:A,A1107,[1]Sheet1!E:E,"Mallas")</f>
        <v>0</v>
      </c>
      <c r="F1107" s="2">
        <f>SUMIFS([1]Sheet1!D:D,[1]Sheet1!A:A,A1107,[1]Sheet1!E:E,"Materia Prima")</f>
        <v>0</v>
      </c>
      <c r="G1107" s="2">
        <f t="shared" si="68"/>
        <v>0.90065384615384625</v>
      </c>
      <c r="H1107">
        <f t="shared" si="69"/>
        <v>1</v>
      </c>
      <c r="I1107" s="2">
        <f t="shared" si="70"/>
        <v>0.90065384615384625</v>
      </c>
      <c r="J1107" s="2">
        <f t="shared" si="71"/>
        <v>0</v>
      </c>
    </row>
    <row r="1108" spans="1:10" x14ac:dyDescent="0.3">
      <c r="A1108">
        <v>1000018126</v>
      </c>
      <c r="B1108" s="1">
        <f>VLOOKUP(A1108,[1]Sheet1!A:B,2,FALSE)</f>
        <v>40589</v>
      </c>
      <c r="C1108" s="2">
        <v>0</v>
      </c>
      <c r="D1108" s="2">
        <f>SUMIFS([1]Sheet1!D:D,[1]Sheet1!A:A,A1108,[1]Sheet1!E:E,"Figurado")</f>
        <v>1262.0000000000002</v>
      </c>
      <c r="E1108" s="2">
        <f>SUMIFS([1]Sheet1!D:D,[1]Sheet1!A:A,A1108,[1]Sheet1!E:E,"Mallas")</f>
        <v>0</v>
      </c>
      <c r="F1108" s="2">
        <f>SUMIFS([1]Sheet1!D:D,[1]Sheet1!A:A,A1108,[1]Sheet1!E:E,"Materia Prima")</f>
        <v>0</v>
      </c>
      <c r="G1108" s="2">
        <f t="shared" si="68"/>
        <v>0.48538461538461547</v>
      </c>
      <c r="H1108">
        <f t="shared" si="69"/>
        <v>1</v>
      </c>
      <c r="I1108" s="2">
        <f t="shared" si="70"/>
        <v>0.48538461538461547</v>
      </c>
      <c r="J1108" s="2">
        <f t="shared" si="71"/>
        <v>0</v>
      </c>
    </row>
    <row r="1109" spans="1:10" x14ac:dyDescent="0.3">
      <c r="A1109">
        <v>1000018127</v>
      </c>
      <c r="B1109" s="1">
        <f>VLOOKUP(A1109,[1]Sheet1!A:B,2,FALSE)</f>
        <v>40589</v>
      </c>
      <c r="C1109" s="2">
        <v>0</v>
      </c>
      <c r="D1109" s="2">
        <f>SUMIFS([1]Sheet1!D:D,[1]Sheet1!A:A,A1109,[1]Sheet1!E:E,"Figurado")</f>
        <v>1549.9</v>
      </c>
      <c r="E1109" s="2">
        <f>SUMIFS([1]Sheet1!D:D,[1]Sheet1!A:A,A1109,[1]Sheet1!E:E,"Mallas")</f>
        <v>0</v>
      </c>
      <c r="F1109" s="2">
        <f>SUMIFS([1]Sheet1!D:D,[1]Sheet1!A:A,A1109,[1]Sheet1!E:E,"Materia Prima")</f>
        <v>0</v>
      </c>
      <c r="G1109" s="2">
        <f t="shared" si="68"/>
        <v>0.5961153846153846</v>
      </c>
      <c r="H1109">
        <f t="shared" si="69"/>
        <v>1</v>
      </c>
      <c r="I1109" s="2">
        <f t="shared" si="70"/>
        <v>0.5961153846153846</v>
      </c>
      <c r="J1109" s="2">
        <f t="shared" si="71"/>
        <v>0</v>
      </c>
    </row>
    <row r="1110" spans="1:10" x14ac:dyDescent="0.3">
      <c r="A1110">
        <v>1000018128</v>
      </c>
      <c r="B1110" s="1">
        <f>VLOOKUP(A1110,[1]Sheet1!A:B,2,FALSE)</f>
        <v>40589</v>
      </c>
      <c r="C1110" s="2">
        <v>0</v>
      </c>
      <c r="D1110" s="2">
        <f>SUMIFS([1]Sheet1!D:D,[1]Sheet1!A:A,A1110,[1]Sheet1!E:E,"Figurado")</f>
        <v>1782.3</v>
      </c>
      <c r="E1110" s="2">
        <f>SUMIFS([1]Sheet1!D:D,[1]Sheet1!A:A,A1110,[1]Sheet1!E:E,"Mallas")</f>
        <v>0</v>
      </c>
      <c r="F1110" s="2">
        <f>SUMIFS([1]Sheet1!D:D,[1]Sheet1!A:A,A1110,[1]Sheet1!E:E,"Materia Prima")</f>
        <v>0</v>
      </c>
      <c r="G1110" s="2">
        <f t="shared" si="68"/>
        <v>0.6855</v>
      </c>
      <c r="H1110">
        <f t="shared" si="69"/>
        <v>1</v>
      </c>
      <c r="I1110" s="2">
        <f t="shared" si="70"/>
        <v>0.6855</v>
      </c>
      <c r="J1110" s="2">
        <f t="shared" si="71"/>
        <v>0</v>
      </c>
    </row>
    <row r="1111" spans="1:10" x14ac:dyDescent="0.3">
      <c r="A1111">
        <v>1000018134</v>
      </c>
      <c r="B1111" s="1">
        <f>VLOOKUP(A1111,[1]Sheet1!A:B,2,FALSE)</f>
        <v>40589</v>
      </c>
      <c r="C1111" s="2">
        <v>0</v>
      </c>
      <c r="D1111" s="2">
        <f>SUMIFS([1]Sheet1!D:D,[1]Sheet1!A:A,A1111,[1]Sheet1!E:E,"Figurado")</f>
        <v>10936.7</v>
      </c>
      <c r="E1111" s="2">
        <f>SUMIFS([1]Sheet1!D:D,[1]Sheet1!A:A,A1111,[1]Sheet1!E:E,"Mallas")</f>
        <v>0</v>
      </c>
      <c r="F1111" s="2">
        <f>SUMIFS([1]Sheet1!D:D,[1]Sheet1!A:A,A1111,[1]Sheet1!E:E,"Materia Prima")</f>
        <v>144</v>
      </c>
      <c r="G1111" s="2">
        <f t="shared" si="68"/>
        <v>4.2064230769230768</v>
      </c>
      <c r="H1111">
        <f t="shared" si="69"/>
        <v>2</v>
      </c>
      <c r="I1111" s="2">
        <f t="shared" si="70"/>
        <v>4.2064230769230768</v>
      </c>
      <c r="J1111" s="2">
        <f t="shared" si="71"/>
        <v>0</v>
      </c>
    </row>
    <row r="1112" spans="1:10" x14ac:dyDescent="0.3">
      <c r="A1112">
        <v>1000018137</v>
      </c>
      <c r="B1112" s="1">
        <f>VLOOKUP(A1112,[1]Sheet1!A:B,2,FALSE)</f>
        <v>40589</v>
      </c>
      <c r="C1112" s="2">
        <v>0</v>
      </c>
      <c r="D1112" s="2">
        <f>SUMIFS([1]Sheet1!D:D,[1]Sheet1!A:A,A1112,[1]Sheet1!E:E,"Figurado")</f>
        <v>389</v>
      </c>
      <c r="E1112" s="2">
        <f>SUMIFS([1]Sheet1!D:D,[1]Sheet1!A:A,A1112,[1]Sheet1!E:E,"Mallas")</f>
        <v>0</v>
      </c>
      <c r="F1112" s="2">
        <f>SUMIFS([1]Sheet1!D:D,[1]Sheet1!A:A,A1112,[1]Sheet1!E:E,"Materia Prima")</f>
        <v>0</v>
      </c>
      <c r="G1112" s="2">
        <f t="shared" si="68"/>
        <v>0.14961538461538462</v>
      </c>
      <c r="H1112">
        <f t="shared" si="69"/>
        <v>1</v>
      </c>
      <c r="I1112" s="2">
        <f t="shared" si="70"/>
        <v>0.14961538461538462</v>
      </c>
      <c r="J1112" s="2">
        <f t="shared" si="71"/>
        <v>0</v>
      </c>
    </row>
    <row r="1113" spans="1:10" x14ac:dyDescent="0.3">
      <c r="A1113">
        <v>1000018143</v>
      </c>
      <c r="B1113" s="1">
        <f>VLOOKUP(A1113,[1]Sheet1!A:B,2,FALSE)</f>
        <v>40589</v>
      </c>
      <c r="C1113" s="2">
        <v>0</v>
      </c>
      <c r="D1113" s="2">
        <f>SUMIFS([1]Sheet1!D:D,[1]Sheet1!A:A,A1113,[1]Sheet1!E:E,"Figurado")</f>
        <v>10464</v>
      </c>
      <c r="E1113" s="2">
        <f>SUMIFS([1]Sheet1!D:D,[1]Sheet1!A:A,A1113,[1]Sheet1!E:E,"Mallas")</f>
        <v>0</v>
      </c>
      <c r="F1113" s="2">
        <f>SUMIFS([1]Sheet1!D:D,[1]Sheet1!A:A,A1113,[1]Sheet1!E:E,"Materia Prima")</f>
        <v>0</v>
      </c>
      <c r="G1113" s="2">
        <f t="shared" si="68"/>
        <v>4.0246153846153847</v>
      </c>
      <c r="H1113">
        <f t="shared" si="69"/>
        <v>1</v>
      </c>
      <c r="I1113" s="2">
        <f t="shared" si="70"/>
        <v>4.0246153846153847</v>
      </c>
      <c r="J1113" s="2">
        <f t="shared" si="71"/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C8F2-D3CF-4129-96C0-5D5CD7C206B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FORERO TELLEZ CARLOS FERNANDO</dc:creator>
  <cp:lastModifiedBy>FORERO TELLEZ CARLOS FERNANDO</cp:lastModifiedBy>
  <dcterms:created xsi:type="dcterms:W3CDTF">2026-02-24T18:59:48Z</dcterms:created>
  <dcterms:modified xsi:type="dcterms:W3CDTF">2026-02-25T00:29:47Z</dcterms:modified>
</cp:coreProperties>
</file>